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483138a93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lth Score Tracker" sheetId="1" r:id="R9da02d39b0da49e7"/>
    <x:sheet xmlns:r="http://schemas.openxmlformats.org/officeDocument/2006/relationships" name="Risk Trigger Log" sheetId="2" r:id="Rb01b89c087054fd9"/>
    <x:sheet xmlns:r="http://schemas.openxmlformats.org/officeDocument/2006/relationships" name="Scoring Guide" sheetId="3" r:id="R8dfd267a011c40b9"/>
    <x:sheet xmlns:r="http://schemas.openxmlformats.org/officeDocument/2006/relationships" name="Dashboard" sheetId="4" r:id="R15fccab637404b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yyyy-mm-dd"/>
    <x:numFmt numFmtId="202" formatCode="0"/>
    <x:numFmt numFmtId="203" formatCode="+0;-0;0"/>
    <x:numFmt numFmtId="204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B91C1C"/>
      </x:font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4aa1376c04915" /><Relationship Type="http://schemas.openxmlformats.org/officeDocument/2006/relationships/theme" Target="/xl/theme/theme1.xml" Id="R29bd5a6974a1407b" /><Relationship Type="http://schemas.openxmlformats.org/officeDocument/2006/relationships/sharedStrings" Target="/xl/sharedStrings.xml" Id="R371df2ea73564bee" /><Relationship Type="http://schemas.openxmlformats.org/officeDocument/2006/relationships/worksheet" Target="/xl/worksheets/sheet1.xml" Id="R9da02d39b0da49e7" /><Relationship Type="http://schemas.openxmlformats.org/officeDocument/2006/relationships/worksheet" Target="/xl/worksheets/sheet2.xml" Id="Rb01b89c087054fd9" /><Relationship Type="http://schemas.openxmlformats.org/officeDocument/2006/relationships/worksheet" Target="/xl/worksheets/sheet3.xml" Id="R8dfd267a011c40b9" /><Relationship Type="http://schemas.openxmlformats.org/officeDocument/2006/relationships/worksheet" Target="/xl/worksheets/sheet4.xml" Id="R15fccab637404b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089a34a8a54e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Portfolio Health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089a34a8a54e8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ealthScoreTable" displayName="HealthScoreTable" ref="A4:M100" headerRowCount="1" totalsRowCount="0" totalsRowShown="0">
  <x:tableColumns count="13">
    <x:tableColumn id="1" name="Account"/>
    <x:tableColumn id="2" name="ARR"/>
    <x:tableColumn id="3" name="Renewal Date"/>
    <x:tableColumn id="4" name="Product Adoption (0-100)"/>
    <x:tableColumn id="5" name="Onboarding Progress (0-100)"/>
    <x:tableColumn id="6" name="Customer Engagement (0-100)"/>
    <x:tableColumn id="7" name="Support Experience (0-100)"/>
    <x:tableColumn id="8" name="Customer Sentiment (0-100)"/>
    <x:tableColumn id="9" name="Health Score"/>
    <x:tableColumn id="10" name="Previous Score"/>
    <x:tableColumn id="11" name="Score Change"/>
    <x:tableColumn id="12" name="Health Status"/>
    <x:tableColumn id="13" name="Recommended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TriggerTable" displayName="RiskTriggerTable" ref="A3:H100" headerRowCount="1" totalsRowCount="0" totalsRowShown="0">
  <x:tableColumns count="8">
    <x:tableColumn id="1" name="Account"/>
    <x:tableColumn id="2" name="Trigger Date"/>
    <x:tableColumn id="3" name="Risk Trigger"/>
    <x:tableColumn id="4" name="Severity"/>
    <x:tableColumn id="5" name="Owner"/>
    <x:tableColumn id="6" name="Action Taken"/>
    <x:tableColumn id="7" name="Follow-up Date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6c7f466a2245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0d034fdaba48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3c51fea947e43b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  <x:col min="13" max="13" width="42" hidden="0" customWidth="1"/>
  </x:cols>
  <x:sheetData>
    <x:row r="1">
      <x:c r="A1" s="5" t="str">
        <x:v>Customer Health &amp; Churn Risk Tracker</x:v>
      </x:c>
    </x:row>
    <x:row r="2">
      <x:c r="A2" s="12" t="str">
        <x:v>Use this tracker to combine customer signals into a weighted health score and identify the right CSM action.</x:v>
      </x:c>
    </x:row>
    <x:row r="4">
      <x:c r="A4" s="20" t="str">
        <x:v>Account</x:v>
      </x:c>
      <x:c r="B4" s="20" t="str">
        <x:v>ARR</x:v>
      </x:c>
      <x:c r="C4" s="20" t="str">
        <x:v>Renewal Date</x:v>
      </x:c>
      <x:c r="D4" s="20" t="str">
        <x:v>Product Adoption (0-100)</x:v>
      </x:c>
      <x:c r="E4" s="20" t="str">
        <x:v>Onboarding Progress (0-100)</x:v>
      </x:c>
      <x:c r="F4" s="20" t="str">
        <x:v>Customer Engagement (0-100)</x:v>
      </x:c>
      <x:c r="G4" s="20" t="str">
        <x:v>Support Experience (0-100)</x:v>
      </x:c>
      <x:c r="H4" s="20" t="str">
        <x:v>Customer Sentiment (0-100)</x:v>
      </x:c>
      <x:c r="I4" s="20" t="str">
        <x:v>Health Score</x:v>
      </x:c>
      <x:c r="J4" s="20" t="str">
        <x:v>Previous Score</x:v>
      </x:c>
      <x:c r="K4" s="20" t="str">
        <x:v>Score Change</x:v>
      </x:c>
      <x:c r="L4" s="20" t="str">
        <x:v>Health Status</x:v>
      </x:c>
      <x:c r="M4" s="20" t="str">
        <x:v>Recommended Action</x:v>
      </x:c>
    </x:row>
    <x:row r="5">
      <x:c r="A5" s="34" t="str">
        <x:v>Northstar Labs</x:v>
      </x:c>
      <x:c r="B5" s="35" t="n">
        <x:v>85000</x:v>
      </x:c>
      <x:c r="C5" s="36" t="str">
        <x:v>2026-11-30</x:v>
      </x:c>
      <x:c r="D5" s="37" t="n">
        <x:v>88</x:v>
      </x:c>
      <x:c r="E5" s="37" t="n">
        <x:v>90</x:v>
      </x:c>
      <x:c r="F5" s="37" t="n">
        <x:v>82</x:v>
      </x:c>
      <x:c r="G5" s="37" t="n">
        <x:v>78</x:v>
      </x:c>
      <x:c r="H5" s="37" t="n">
        <x:v>84</x:v>
      </x:c>
      <x:c r="I5" s="37" t="n">
        <x:f>D5*0.30+E5*0.20+F5*0.20+G5*0.15+H5*0.15</x:f>
        <x:v>85.1</x:v>
      </x:c>
      <x:c r="J5" s="37" t="n">
        <x:v>86</x:v>
      </x:c>
      <x:c r="K5" s="38" t="n">
        <x:f>I5-J5</x:f>
        <x:v>-0.9000000000000057</x:v>
      </x:c>
      <x:c r="L5" s="34" t="str">
        <x:f>IF(I5&gt;=80,"Healthy",IF(I5&gt;=60,"Watch",IF(I5&gt;=40,"At Risk","Critical")))</x:f>
        <x:v>Healthy</x:v>
      </x:c>
      <x:c r="M5" s="34" t="str">
        <x:f>IF(L5="Healthy","Maintain engagement and assess growth opportunities",IF(L5="Watch","Investigate declining signals and address friction early",IF(L5="At Risk","Create an account recovery plan and increase engagement","Escalate, align stakeholders, and begin immediate intervention")))</x:f>
        <x:v>Maintain engagement and assess growth opportunities</x:v>
      </x:c>
    </x:row>
    <x:row r="6">
      <x:c r="A6" s="34" t="str">
        <x:v>BrightPath Co.</x:v>
      </x:c>
      <x:c r="B6" s="35" t="n">
        <x:v>42000</x:v>
      </x:c>
      <x:c r="C6" s="36" t="str">
        <x:v>2026-10-15</x:v>
      </x:c>
      <x:c r="D6" s="37" t="n">
        <x:v>68</x:v>
      </x:c>
      <x:c r="E6" s="37" t="n">
        <x:v>72</x:v>
      </x:c>
      <x:c r="F6" s="37" t="n">
        <x:v>60</x:v>
      </x:c>
      <x:c r="G6" s="37" t="n">
        <x:v>74</x:v>
      </x:c>
      <x:c r="H6" s="37" t="n">
        <x:v>66</x:v>
      </x:c>
      <x:c r="I6" s="37" t="n">
        <x:f>D6*0.30+E6*0.20+F6*0.20+G6*0.15+H6*0.15</x:f>
        <x:v>67.8</x:v>
      </x:c>
      <x:c r="J6" s="37" t="n">
        <x:v>79</x:v>
      </x:c>
      <x:c r="K6" s="38" t="n">
        <x:f>I6-J6</x:f>
        <x:v>-11.200000000000003</x:v>
      </x:c>
      <x:c r="L6" s="34" t="str">
        <x:f>IF(I6&gt;=80,"Healthy",IF(I6&gt;=60,"Watch",IF(I6&gt;=40,"At Risk","Critical")))</x:f>
        <x:v>Watch</x:v>
      </x:c>
      <x:c r="M6" s="34" t="str">
        <x:f>IF(L6="Healthy","Maintain engagement and assess growth opportunities",IF(L6="Watch","Investigate declining signals and address friction early",IF(L6="At Risk","Create an account recovery plan and increase engagement","Escalate, align stakeholders, and begin immediate intervention")))</x:f>
        <x:v>Investigate declining signals and address friction early</x:v>
      </x:c>
    </x:row>
    <x:row r="7">
      <x:c r="A7" s="34" t="str">
        <x:v>Apex Learning</x:v>
      </x:c>
      <x:c r="B7" s="35" t="n">
        <x:v>125000</x:v>
      </x:c>
      <x:c r="C7" s="36" t="str">
        <x:v>2026-09-28</x:v>
      </x:c>
      <x:c r="D7" s="37" t="n">
        <x:v>42</x:v>
      </x:c>
      <x:c r="E7" s="37" t="n">
        <x:v>55</x:v>
      </x:c>
      <x:c r="F7" s="37" t="n">
        <x:v>38</x:v>
      </x:c>
      <x:c r="G7" s="37" t="n">
        <x:v>50</x:v>
      </x:c>
      <x:c r="H7" s="37" t="n">
        <x:v>46</x:v>
      </x:c>
      <x:c r="I7" s="37" t="n">
        <x:f>D7*0.30+E7*0.20+F7*0.20+G7*0.15+H7*0.15</x:f>
        <x:v>45.6</x:v>
      </x:c>
      <x:c r="J7" s="37" t="n">
        <x:v>63</x:v>
      </x:c>
      <x:c r="K7" s="38" t="n">
        <x:f>I7-J7</x:f>
        <x:v>-17.4</x:v>
      </x:c>
      <x:c r="L7" s="34" t="str">
        <x:f>IF(I7&gt;=80,"Healthy",IF(I7&gt;=60,"Watch",IF(I7&gt;=40,"At Risk","Critical")))</x:f>
        <x:v>At Risk</x:v>
      </x:c>
      <x:c r="M7" s="34" t="str">
        <x:f>IF(L7="Healthy","Maintain engagement and assess growth opportunities",IF(L7="Watch","Investigate declining signals and address friction early",IF(L7="At Risk","Create an account recovery plan and increase engagement","Escalate, align stakeholders, and begin immediate intervention")))</x:f>
        <x:v>Create an account recovery plan and increase engagement</x:v>
      </x:c>
    </x:row>
    <x:row r="8">
      <x:c r="A8" s="34" t="str">
        <x:v>Horizon Health</x:v>
      </x:c>
      <x:c r="B8" s="35" t="n">
        <x:v>210000</x:v>
      </x:c>
      <x:c r="C8" s="36" t="str">
        <x:v>2026-12-20</x:v>
      </x:c>
      <x:c r="D8" s="37" t="n">
        <x:v>25</x:v>
      </x:c>
      <x:c r="E8" s="37" t="n">
        <x:v>40</x:v>
      </x:c>
      <x:c r="F8" s="37" t="n">
        <x:v>32</x:v>
      </x:c>
      <x:c r="G8" s="37" t="n">
        <x:v>35</x:v>
      </x:c>
      <x:c r="H8" s="37" t="n">
        <x:v>28</x:v>
      </x:c>
      <x:c r="I8" s="37" t="n">
        <x:f>D8*0.30+E8*0.20+F8*0.20+G8*0.15+H8*0.15</x:f>
        <x:v>31.349999999999998</x:v>
      </x:c>
      <x:c r="J8" s="37" t="n">
        <x:v>48</x:v>
      </x:c>
      <x:c r="K8" s="38" t="n">
        <x:f>I8-J8</x:f>
        <x:v>-16.650000000000002</x:v>
      </x:c>
      <x:c r="L8" s="34" t="str">
        <x:f>IF(I8&gt;=80,"Healthy",IF(I8&gt;=60,"Watch",IF(I8&gt;=40,"At Risk","Critical")))</x:f>
        <x:v>Critical</x:v>
      </x:c>
      <x:c r="M8" s="34" t="str">
        <x:f>IF(L8="Healthy","Maintain engagement and assess growth opportunities",IF(L8="Watch","Investigate declining signals and address friction early",IF(L8="At Risk","Create an account recovery plan and increase engagement","Escalate, align stakeholders, and begin immediate intervention")))</x:f>
        <x:v>Escalate, align stakeholders, and begin immediate intervention</x:v>
      </x:c>
    </x:row>
    <x:row r="9">
      <x:c r="A9" s="34" t="str">
        <x:v>Nova Community</x:v>
      </x:c>
      <x:c r="B9" s="35" t="n">
        <x:v>56000</x:v>
      </x:c>
      <x:c r="C9" s="36" t="str">
        <x:v>2027-01-12</x:v>
      </x:c>
      <x:c r="D9" s="37" t="n">
        <x:v>76</x:v>
      </x:c>
      <x:c r="E9" s="37" t="n">
        <x:v>81</x:v>
      </x:c>
      <x:c r="F9" s="37" t="n">
        <x:v>73</x:v>
      </x:c>
      <x:c r="G9" s="37" t="n">
        <x:v>80</x:v>
      </x:c>
      <x:c r="H9" s="37" t="n">
        <x:v>78</x:v>
      </x:c>
      <x:c r="I9" s="37" t="n">
        <x:f>D9*0.30+E9*0.20+F9*0.20+G9*0.15+H9*0.15</x:f>
        <x:v>77.3</x:v>
      </x:c>
      <x:c r="J9" s="37" t="n">
        <x:v>74</x:v>
      </x:c>
      <x:c r="K9" s="38" t="n">
        <x:f>I9-J9</x:f>
        <x:v>3.299999999999997</x:v>
      </x:c>
      <x:c r="L9" s="34" t="str">
        <x:f>IF(I9&gt;=80,"Healthy",IF(I9&gt;=60,"Watch",IF(I9&gt;=40,"At Risk","Critical")))</x:f>
        <x:v>Watch</x:v>
      </x:c>
      <x:c r="M9" s="34" t="str">
        <x:f>IF(L9="Healthy","Maintain engagement and assess growth opportunities",IF(L9="Watch","Investigate declining signals and address friction early",IF(L9="At Risk","Create an account recovery plan and increase engagement","Escalate, align stakeholders, and begin immediate intervention")))</x:f>
        <x:v>Investigate declining signals and address friction early</x:v>
      </x:c>
    </x:row>
    <x:row r="10">
      <x:c r="A10" s="34"/>
      <x:c r="B10" s="35"/>
      <x:c r="C10" s="36"/>
      <x:c r="D10" s="37"/>
      <x:c r="E10" s="37"/>
      <x:c r="F10" s="37"/>
      <x:c r="G10" s="37"/>
      <x:c r="H10" s="37"/>
      <x:c r="I10" s="37" t="n">
        <x:f>D10*0.30+E10*0.20+F10*0.20+G10*0.15+H10*0.15</x:f>
        <x:v>0</x:v>
      </x:c>
      <x:c r="J10" s="37"/>
      <x:c r="K10" s="38" t="n">
        <x:f>I10-J10</x:f>
        <x:v>0</x:v>
      </x:c>
      <x:c r="L10" s="34" t="str">
        <x:f>IF(I10&gt;=80,"Healthy",IF(I10&gt;=60,"Watch",IF(I10&gt;=40,"At Risk","Critical")))</x:f>
        <x:v>Critical</x:v>
      </x:c>
      <x:c r="M10" s="34" t="str">
        <x:f>IF(L10="Healthy","Maintain engagement and assess growth opportunities",IF(L10="Watch","Investigate declining signals and address friction early",IF(L10="At Risk","Create an account recovery plan and increase engagement","Escalate, align stakeholders, and begin immediate intervention")))</x:f>
        <x:v>Escalate, align stakeholders, and begin immediate intervention</x:v>
      </x:c>
    </x:row>
    <x:row r="11">
      <x:c r="A11" s="34"/>
      <x:c r="B11" s="35"/>
      <x:c r="C11" s="36"/>
      <x:c r="D11" s="37"/>
      <x:c r="E11" s="37"/>
      <x:c r="F11" s="37"/>
      <x:c r="G11" s="37"/>
      <x:c r="H11" s="37"/>
      <x:c r="I11" s="37" t="n">
        <x:f>D11*0.30+E11*0.20+F11*0.20+G11*0.15+H11*0.15</x:f>
        <x:v>0</x:v>
      </x:c>
      <x:c r="J11" s="37"/>
      <x:c r="K11" s="38" t="n">
        <x:f>I11-J11</x:f>
        <x:v>0</x:v>
      </x:c>
      <x:c r="L11" s="34" t="str">
        <x:f>IF(I11&gt;=80,"Healthy",IF(I11&gt;=60,"Watch",IF(I11&gt;=40,"At Risk","Critical")))</x:f>
        <x:v>Critical</x:v>
      </x:c>
      <x:c r="M11" s="34" t="str">
        <x:f>IF(L11="Healthy","Maintain engagement and assess growth opportunities",IF(L11="Watch","Investigate declining signals and address friction early",IF(L11="At Risk","Create an account recovery plan and increase engagement","Escalate, align stakeholders, and begin immediate intervention")))</x:f>
        <x:v>Escalate, align stakeholders, and begin immediate intervention</x:v>
      </x:c>
    </x:row>
    <x:row r="12">
      <x:c r="A12" s="34"/>
      <x:c r="B12" s="35"/>
      <x:c r="C12" s="36"/>
      <x:c r="D12" s="37"/>
      <x:c r="E12" s="37"/>
      <x:c r="F12" s="37"/>
      <x:c r="G12" s="37"/>
      <x:c r="H12" s="37"/>
      <x:c r="I12" s="37" t="n">
        <x:f>D12*0.30+E12*0.20+F12*0.20+G12*0.15+H12*0.15</x:f>
        <x:v>0</x:v>
      </x:c>
      <x:c r="J12" s="37"/>
      <x:c r="K12" s="38" t="n">
        <x:f>I12-J12</x:f>
        <x:v>0</x:v>
      </x:c>
      <x:c r="L12" s="34" t="str">
        <x:f>IF(I12&gt;=80,"Healthy",IF(I12&gt;=60,"Watch",IF(I12&gt;=40,"At Risk","Critical")))</x:f>
        <x:v>Critical</x:v>
      </x:c>
      <x:c r="M12" s="34" t="str">
        <x:f>IF(L12="Healthy","Maintain engagement and assess growth opportunities",IF(L12="Watch","Investigate declining signals and address friction early",IF(L12="At Risk","Create an account recovery plan and increase engagement","Escalate, align stakeholders, and begin immediate intervention")))</x:f>
        <x:v>Escalate, align stakeholders, and begin immediate intervention</x:v>
      </x:c>
    </x:row>
    <x:row r="13">
      <x:c r="A13" s="34"/>
      <x:c r="B13" s="35"/>
      <x:c r="C13" s="36"/>
      <x:c r="D13" s="37"/>
      <x:c r="E13" s="37"/>
      <x:c r="F13" s="37"/>
      <x:c r="G13" s="37"/>
      <x:c r="H13" s="37"/>
      <x:c r="I13" s="37" t="n">
        <x:f>D13*0.30+E13*0.20+F13*0.20+G13*0.15+H13*0.15</x:f>
        <x:v>0</x:v>
      </x:c>
      <x:c r="J13" s="37"/>
      <x:c r="K13" s="38" t="n">
        <x:f>I13-J13</x:f>
        <x:v>0</x:v>
      </x:c>
      <x:c r="L13" s="34" t="str">
        <x:f>IF(I13&gt;=80,"Healthy",IF(I13&gt;=60,"Watch",IF(I13&gt;=40,"At Risk","Critical")))</x:f>
        <x:v>Critical</x:v>
      </x:c>
      <x:c r="M13" s="34" t="str">
        <x:f>IF(L13="Healthy","Maintain engagement and assess growth opportunities",IF(L13="Watch","Investigate declining signals and address friction early",IF(L13="At Risk","Create an account recovery plan and increase engagement","Escalate, align stakeholders, and begin immediate intervention")))</x:f>
        <x:v>Escalate, align stakeholders, and begin immediate intervention</x:v>
      </x:c>
    </x:row>
    <x:row r="14">
      <x:c r="A14" s="34"/>
      <x:c r="B14" s="35"/>
      <x:c r="C14" s="36"/>
      <x:c r="D14" s="37"/>
      <x:c r="E14" s="37"/>
      <x:c r="F14" s="37"/>
      <x:c r="G14" s="37"/>
      <x:c r="H14" s="37"/>
      <x:c r="I14" s="37" t="n">
        <x:f>D14*0.30+E14*0.20+F14*0.20+G14*0.15+H14*0.15</x:f>
        <x:v>0</x:v>
      </x:c>
      <x:c r="J14" s="37"/>
      <x:c r="K14" s="38" t="n">
        <x:f>I14-J14</x:f>
        <x:v>0</x:v>
      </x:c>
      <x:c r="L14" s="34" t="str">
        <x:f>IF(I14&gt;=80,"Healthy",IF(I14&gt;=60,"Watch",IF(I14&gt;=40,"At Risk","Critical")))</x:f>
        <x:v>Critical</x:v>
      </x:c>
      <x:c r="M14" s="34" t="str">
        <x:f>IF(L14="Healthy","Maintain engagement and assess growth opportunities",IF(L14="Watch","Investigate declining signals and address friction early",IF(L14="At Risk","Create an account recovery plan and increase engagement","Escalate, align stakeholders, and begin immediate intervention")))</x:f>
        <x:v>Escalate, align stakeholders, and begin immediate intervention</x:v>
      </x:c>
    </x:row>
    <x:row r="15">
      <x:c r="A15" s="34"/>
      <x:c r="B15" s="35"/>
      <x:c r="C15" s="36"/>
      <x:c r="D15" s="37"/>
      <x:c r="E15" s="37"/>
      <x:c r="F15" s="37"/>
      <x:c r="G15" s="37"/>
      <x:c r="H15" s="37"/>
      <x:c r="I15" s="37" t="n">
        <x:f>D15*0.30+E15*0.20+F15*0.20+G15*0.15+H15*0.15</x:f>
        <x:v>0</x:v>
      </x:c>
      <x:c r="J15" s="37"/>
      <x:c r="K15" s="38" t="n">
        <x:f>I15-J15</x:f>
        <x:v>0</x:v>
      </x:c>
      <x:c r="L15" s="34" t="str">
        <x:f>IF(I15&gt;=80,"Healthy",IF(I15&gt;=60,"Watch",IF(I15&gt;=40,"At Risk","Critical")))</x:f>
        <x:v>Critical</x:v>
      </x:c>
      <x:c r="M15" s="34" t="str">
        <x:f>IF(L15="Healthy","Maintain engagement and assess growth opportunities",IF(L15="Watch","Investigate declining signals and address friction early",IF(L15="At Risk","Create an account recovery plan and increase engagement","Escalate, align stakeholders, and begin immediate intervention")))</x:f>
        <x:v>Escalate, align stakeholders, and begin immediate intervention</x:v>
      </x:c>
    </x:row>
    <x:row r="16">
      <x:c r="A16" s="34"/>
      <x:c r="B16" s="35"/>
      <x:c r="C16" s="36"/>
      <x:c r="D16" s="37"/>
      <x:c r="E16" s="37"/>
      <x:c r="F16" s="37"/>
      <x:c r="G16" s="37"/>
      <x:c r="H16" s="37"/>
      <x:c r="I16" s="37" t="n">
        <x:f>D16*0.30+E16*0.20+F16*0.20+G16*0.15+H16*0.15</x:f>
        <x:v>0</x:v>
      </x:c>
      <x:c r="J16" s="37"/>
      <x:c r="K16" s="38" t="n">
        <x:f>I16-J16</x:f>
        <x:v>0</x:v>
      </x:c>
      <x:c r="L16" s="34" t="str">
        <x:f>IF(I16&gt;=80,"Healthy",IF(I16&gt;=60,"Watch",IF(I16&gt;=40,"At Risk","Critical")))</x:f>
        <x:v>Critical</x:v>
      </x:c>
      <x:c r="M16" s="34" t="str">
        <x:f>IF(L16="Healthy","Maintain engagement and assess growth opportunities",IF(L16="Watch","Investigate declining signals and address friction early",IF(L16="At Risk","Create an account recovery plan and increase engagement","Escalate, align stakeholders, and begin immediate intervention")))</x:f>
        <x:v>Escalate, align stakeholders, and begin immediate intervention</x:v>
      </x:c>
    </x:row>
    <x:row r="17">
      <x:c r="A17" s="34"/>
      <x:c r="B17" s="35"/>
      <x:c r="C17" s="36"/>
      <x:c r="D17" s="37"/>
      <x:c r="E17" s="37"/>
      <x:c r="F17" s="37"/>
      <x:c r="G17" s="37"/>
      <x:c r="H17" s="37"/>
      <x:c r="I17" s="37" t="n">
        <x:f>D17*0.30+E17*0.20+F17*0.20+G17*0.15+H17*0.15</x:f>
        <x:v>0</x:v>
      </x:c>
      <x:c r="J17" s="37"/>
      <x:c r="K17" s="38" t="n">
        <x:f>I17-J17</x:f>
        <x:v>0</x:v>
      </x:c>
      <x:c r="L17" s="34" t="str">
        <x:f>IF(I17&gt;=80,"Healthy",IF(I17&gt;=60,"Watch",IF(I17&gt;=40,"At Risk","Critical")))</x:f>
        <x:v>Critical</x:v>
      </x:c>
      <x:c r="M17" s="34" t="str">
        <x:f>IF(L17="Healthy","Maintain engagement and assess growth opportunities",IF(L17="Watch","Investigate declining signals and address friction early",IF(L17="At Risk","Create an account recovery plan and increase engagement","Escalate, align stakeholders, and begin immediate intervention")))</x:f>
        <x:v>Escalate, align stakeholders, and begin immediate intervention</x:v>
      </x:c>
    </x:row>
    <x:row r="18">
      <x:c r="A18" s="34"/>
      <x:c r="B18" s="35"/>
      <x:c r="C18" s="36"/>
      <x:c r="D18" s="37"/>
      <x:c r="E18" s="37"/>
      <x:c r="F18" s="37"/>
      <x:c r="G18" s="37"/>
      <x:c r="H18" s="37"/>
      <x:c r="I18" s="37" t="n">
        <x:f>D18*0.30+E18*0.20+F18*0.20+G18*0.15+H18*0.15</x:f>
        <x:v>0</x:v>
      </x:c>
      <x:c r="J18" s="37"/>
      <x:c r="K18" s="38" t="n">
        <x:f>I18-J18</x:f>
        <x:v>0</x:v>
      </x:c>
      <x:c r="L18" s="34" t="str">
        <x:f>IF(I18&gt;=80,"Healthy",IF(I18&gt;=60,"Watch",IF(I18&gt;=40,"At Risk","Critical")))</x:f>
        <x:v>Critical</x:v>
      </x:c>
      <x:c r="M18" s="34" t="str">
        <x:f>IF(L18="Healthy","Maintain engagement and assess growth opportunities",IF(L18="Watch","Investigate declining signals and address friction early",IF(L18="At Risk","Create an account recovery plan and increase engagement","Escalate, align stakeholders, and begin immediate intervention")))</x:f>
        <x:v>Escalate, align stakeholders, and begin immediate intervention</x:v>
      </x:c>
    </x:row>
    <x:row r="19">
      <x:c r="A19" s="34"/>
      <x:c r="B19" s="35"/>
      <x:c r="C19" s="36"/>
      <x:c r="D19" s="37"/>
      <x:c r="E19" s="37"/>
      <x:c r="F19" s="37"/>
      <x:c r="G19" s="37"/>
      <x:c r="H19" s="37"/>
      <x:c r="I19" s="37" t="n">
        <x:f>D19*0.30+E19*0.20+F19*0.20+G19*0.15+H19*0.15</x:f>
        <x:v>0</x:v>
      </x:c>
      <x:c r="J19" s="37"/>
      <x:c r="K19" s="38" t="n">
        <x:f>I19-J19</x:f>
        <x:v>0</x:v>
      </x:c>
      <x:c r="L19" s="34" t="str">
        <x:f>IF(I19&gt;=80,"Healthy",IF(I19&gt;=60,"Watch",IF(I19&gt;=40,"At Risk","Critical")))</x:f>
        <x:v>Critical</x:v>
      </x:c>
      <x:c r="M19" s="34" t="str">
        <x:f>IF(L19="Healthy","Maintain engagement and assess growth opportunities",IF(L19="Watch","Investigate declining signals and address friction early",IF(L19="At Risk","Create an account recovery plan and increase engagement","Escalate, align stakeholders, and begin immediate intervention")))</x:f>
        <x:v>Escalate, align stakeholders, and begin immediate intervention</x:v>
      </x:c>
    </x:row>
    <x:row r="20">
      <x:c r="A20" s="34"/>
      <x:c r="B20" s="35"/>
      <x:c r="C20" s="36"/>
      <x:c r="D20" s="37"/>
      <x:c r="E20" s="37"/>
      <x:c r="F20" s="37"/>
      <x:c r="G20" s="37"/>
      <x:c r="H20" s="37"/>
      <x:c r="I20" s="37" t="n">
        <x:f>D20*0.30+E20*0.20+F20*0.20+G20*0.15+H20*0.15</x:f>
        <x:v>0</x:v>
      </x:c>
      <x:c r="J20" s="37"/>
      <x:c r="K20" s="38" t="n">
        <x:f>I20-J20</x:f>
        <x:v>0</x:v>
      </x:c>
      <x:c r="L20" s="34" t="str">
        <x:f>IF(I20&gt;=80,"Healthy",IF(I20&gt;=60,"Watch",IF(I20&gt;=40,"At Risk","Critical")))</x:f>
        <x:v>Critical</x:v>
      </x:c>
      <x:c r="M20" s="34" t="str">
        <x:f>IF(L20="Healthy","Maintain engagement and assess growth opportunities",IF(L20="Watch","Investigate declining signals and address friction early",IF(L20="At Risk","Create an account recovery plan and increase engagement","Escalate, align stakeholders, and begin immediate intervention")))</x:f>
        <x:v>Escalate, align stakeholders, and begin immediate intervention</x:v>
      </x:c>
    </x:row>
    <x:row r="21">
      <x:c r="A21" s="34"/>
      <x:c r="B21" s="35"/>
      <x:c r="C21" s="36"/>
      <x:c r="D21" s="37"/>
      <x:c r="E21" s="37"/>
      <x:c r="F21" s="37"/>
      <x:c r="G21" s="37"/>
      <x:c r="H21" s="37"/>
      <x:c r="I21" s="37" t="n">
        <x:f>D21*0.30+E21*0.20+F21*0.20+G21*0.15+H21*0.15</x:f>
        <x:v>0</x:v>
      </x:c>
      <x:c r="J21" s="37"/>
      <x:c r="K21" s="38" t="n">
        <x:f>I21-J21</x:f>
        <x:v>0</x:v>
      </x:c>
      <x:c r="L21" s="34" t="str">
        <x:f>IF(I21&gt;=80,"Healthy",IF(I21&gt;=60,"Watch",IF(I21&gt;=40,"At Risk","Critical")))</x:f>
        <x:v>Critical</x:v>
      </x:c>
      <x:c r="M21" s="34" t="str">
        <x:f>IF(L21="Healthy","Maintain engagement and assess growth opportunities",IF(L21="Watch","Investigate declining signals and address friction early",IF(L21="At Risk","Create an account recovery plan and increase engagement","Escalate, align stakeholders, and begin immediate intervention")))</x:f>
        <x:v>Escalate, align stakeholders, and begin immediate intervention</x:v>
      </x:c>
    </x:row>
    <x:row r="22">
      <x:c r="A22" s="34"/>
      <x:c r="B22" s="35"/>
      <x:c r="C22" s="36"/>
      <x:c r="D22" s="37"/>
      <x:c r="E22" s="37"/>
      <x:c r="F22" s="37"/>
      <x:c r="G22" s="37"/>
      <x:c r="H22" s="37"/>
      <x:c r="I22" s="37" t="n">
        <x:f>D22*0.30+E22*0.20+F22*0.20+G22*0.15+H22*0.15</x:f>
        <x:v>0</x:v>
      </x:c>
      <x:c r="J22" s="37"/>
      <x:c r="K22" s="38" t="n">
        <x:f>I22-J22</x:f>
        <x:v>0</x:v>
      </x:c>
      <x:c r="L22" s="34" t="str">
        <x:f>IF(I22&gt;=80,"Healthy",IF(I22&gt;=60,"Watch",IF(I22&gt;=40,"At Risk","Critical")))</x:f>
        <x:v>Critical</x:v>
      </x:c>
      <x:c r="M22" s="34" t="str">
        <x:f>IF(L22="Healthy","Maintain engagement and assess growth opportunities",IF(L22="Watch","Investigate declining signals and address friction early",IF(L22="At Risk","Create an account recovery plan and increase engagement","Escalate, align stakeholders, and begin immediate intervention")))</x:f>
        <x:v>Escalate, align stakeholders, and begin immediate intervention</x:v>
      </x:c>
    </x:row>
    <x:row r="23">
      <x:c r="A23" s="34"/>
      <x:c r="B23" s="35"/>
      <x:c r="C23" s="36"/>
      <x:c r="D23" s="37"/>
      <x:c r="E23" s="37"/>
      <x:c r="F23" s="37"/>
      <x:c r="G23" s="37"/>
      <x:c r="H23" s="37"/>
      <x:c r="I23" s="37" t="n">
        <x:f>D23*0.30+E23*0.20+F23*0.20+G23*0.15+H23*0.15</x:f>
        <x:v>0</x:v>
      </x:c>
      <x:c r="J23" s="37"/>
      <x:c r="K23" s="38" t="n">
        <x:f>I23-J23</x:f>
        <x:v>0</x:v>
      </x:c>
      <x:c r="L23" s="34" t="str">
        <x:f>IF(I23&gt;=80,"Healthy",IF(I23&gt;=60,"Watch",IF(I23&gt;=40,"At Risk","Critical")))</x:f>
        <x:v>Critical</x:v>
      </x:c>
      <x:c r="M23" s="34" t="str">
        <x:f>IF(L23="Healthy","Maintain engagement and assess growth opportunities",IF(L23="Watch","Investigate declining signals and address friction early",IF(L23="At Risk","Create an account recovery plan and increase engagement","Escalate, align stakeholders, and begin immediate intervention")))</x:f>
        <x:v>Escalate, align stakeholders, and begin immediate intervention</x:v>
      </x:c>
    </x:row>
    <x:row r="24">
      <x:c r="A24" s="34"/>
      <x:c r="B24" s="35"/>
      <x:c r="C24" s="36"/>
      <x:c r="D24" s="37"/>
      <x:c r="E24" s="37"/>
      <x:c r="F24" s="37"/>
      <x:c r="G24" s="37"/>
      <x:c r="H24" s="37"/>
      <x:c r="I24" s="37" t="n">
        <x:f>D24*0.30+E24*0.20+F24*0.20+G24*0.15+H24*0.15</x:f>
        <x:v>0</x:v>
      </x:c>
      <x:c r="J24" s="37"/>
      <x:c r="K24" s="38" t="n">
        <x:f>I24-J24</x:f>
        <x:v>0</x:v>
      </x:c>
      <x:c r="L24" s="34" t="str">
        <x:f>IF(I24&gt;=80,"Healthy",IF(I24&gt;=60,"Watch",IF(I24&gt;=40,"At Risk","Critical")))</x:f>
        <x:v>Critical</x:v>
      </x:c>
      <x:c r="M24" s="34" t="str">
        <x:f>IF(L24="Healthy","Maintain engagement and assess growth opportunities",IF(L24="Watch","Investigate declining signals and address friction early",IF(L24="At Risk","Create an account recovery plan and increase engagement","Escalate, align stakeholders, and begin immediate intervention")))</x:f>
        <x:v>Escalate, align stakeholders, and begin immediate intervention</x:v>
      </x:c>
    </x:row>
    <x:row r="25">
      <x:c r="A25" s="34"/>
      <x:c r="B25" s="35"/>
      <x:c r="C25" s="36"/>
      <x:c r="D25" s="37"/>
      <x:c r="E25" s="37"/>
      <x:c r="F25" s="37"/>
      <x:c r="G25" s="37"/>
      <x:c r="H25" s="37"/>
      <x:c r="I25" s="37" t="n">
        <x:f>D25*0.30+E25*0.20+F25*0.20+G25*0.15+H25*0.15</x:f>
        <x:v>0</x:v>
      </x:c>
      <x:c r="J25" s="37"/>
      <x:c r="K25" s="38" t="n">
        <x:f>I25-J25</x:f>
        <x:v>0</x:v>
      </x:c>
      <x:c r="L25" s="34" t="str">
        <x:f>IF(I25&gt;=80,"Healthy",IF(I25&gt;=60,"Watch",IF(I25&gt;=40,"At Risk","Critical")))</x:f>
        <x:v>Critical</x:v>
      </x:c>
      <x:c r="M25" s="34" t="str">
        <x:f>IF(L25="Healthy","Maintain engagement and assess growth opportunities",IF(L25="Watch","Investigate declining signals and address friction early",IF(L25="At Risk","Create an account recovery plan and increase engagement","Escalate, align stakeholders, and begin immediate intervention")))</x:f>
        <x:v>Escalate, align stakeholders, and begin immediate intervention</x:v>
      </x:c>
    </x:row>
    <x:row r="26">
      <x:c r="A26" s="34"/>
      <x:c r="B26" s="35"/>
      <x:c r="C26" s="36"/>
      <x:c r="D26" s="37"/>
      <x:c r="E26" s="37"/>
      <x:c r="F26" s="37"/>
      <x:c r="G26" s="37"/>
      <x:c r="H26" s="37"/>
      <x:c r="I26" s="37" t="n">
        <x:f>D26*0.30+E26*0.20+F26*0.20+G26*0.15+H26*0.15</x:f>
        <x:v>0</x:v>
      </x:c>
      <x:c r="J26" s="37"/>
      <x:c r="K26" s="38" t="n">
        <x:f>I26-J26</x:f>
        <x:v>0</x:v>
      </x:c>
      <x:c r="L26" s="34" t="str">
        <x:f>IF(I26&gt;=80,"Healthy",IF(I26&gt;=60,"Watch",IF(I26&gt;=40,"At Risk","Critical")))</x:f>
        <x:v>Critical</x:v>
      </x:c>
      <x:c r="M26" s="34" t="str">
        <x:f>IF(L26="Healthy","Maintain engagement and assess growth opportunities",IF(L26="Watch","Investigate declining signals and address friction early",IF(L26="At Risk","Create an account recovery plan and increase engagement","Escalate, align stakeholders, and begin immediate intervention")))</x:f>
        <x:v>Escalate, align stakeholders, and begin immediate intervention</x:v>
      </x:c>
    </x:row>
    <x:row r="27">
      <x:c r="A27" s="34"/>
      <x:c r="B27" s="35"/>
      <x:c r="C27" s="36"/>
      <x:c r="D27" s="37"/>
      <x:c r="E27" s="37"/>
      <x:c r="F27" s="37"/>
      <x:c r="G27" s="37"/>
      <x:c r="H27" s="37"/>
      <x:c r="I27" s="37" t="n">
        <x:f>D27*0.30+E27*0.20+F27*0.20+G27*0.15+H27*0.15</x:f>
        <x:v>0</x:v>
      </x:c>
      <x:c r="J27" s="37"/>
      <x:c r="K27" s="38" t="n">
        <x:f>I27-J27</x:f>
        <x:v>0</x:v>
      </x:c>
      <x:c r="L27" s="34" t="str">
        <x:f>IF(I27&gt;=80,"Healthy",IF(I27&gt;=60,"Watch",IF(I27&gt;=40,"At Risk","Critical")))</x:f>
        <x:v>Critical</x:v>
      </x:c>
      <x:c r="M27" s="34" t="str">
        <x:f>IF(L27="Healthy","Maintain engagement and assess growth opportunities",IF(L27="Watch","Investigate declining signals and address friction early",IF(L27="At Risk","Create an account recovery plan and increase engagement","Escalate, align stakeholders, and begin immediate intervention")))</x:f>
        <x:v>Escalate, align stakeholders, and begin immediate intervention</x:v>
      </x:c>
    </x:row>
    <x:row r="28">
      <x:c r="A28" s="34"/>
      <x:c r="B28" s="35"/>
      <x:c r="C28" s="36"/>
      <x:c r="D28" s="37"/>
      <x:c r="E28" s="37"/>
      <x:c r="F28" s="37"/>
      <x:c r="G28" s="37"/>
      <x:c r="H28" s="37"/>
      <x:c r="I28" s="37" t="n">
        <x:f>D28*0.30+E28*0.20+F28*0.20+G28*0.15+H28*0.15</x:f>
        <x:v>0</x:v>
      </x:c>
      <x:c r="J28" s="37"/>
      <x:c r="K28" s="38" t="n">
        <x:f>I28-J28</x:f>
        <x:v>0</x:v>
      </x:c>
      <x:c r="L28" s="34" t="str">
        <x:f>IF(I28&gt;=80,"Healthy",IF(I28&gt;=60,"Watch",IF(I28&gt;=40,"At Risk","Critical")))</x:f>
        <x:v>Critical</x:v>
      </x:c>
      <x:c r="M28" s="34" t="str">
        <x:f>IF(L28="Healthy","Maintain engagement and assess growth opportunities",IF(L28="Watch","Investigate declining signals and address friction early",IF(L28="At Risk","Create an account recovery plan and increase engagement","Escalate, align stakeholders, and begin immediate intervention")))</x:f>
        <x:v>Escalate, align stakeholders, and begin immediate intervention</x:v>
      </x:c>
    </x:row>
    <x:row r="29">
      <x:c r="A29" s="34"/>
      <x:c r="B29" s="35"/>
      <x:c r="C29" s="36"/>
      <x:c r="D29" s="37"/>
      <x:c r="E29" s="37"/>
      <x:c r="F29" s="37"/>
      <x:c r="G29" s="37"/>
      <x:c r="H29" s="37"/>
      <x:c r="I29" s="37" t="n">
        <x:f>D29*0.30+E29*0.20+F29*0.20+G29*0.15+H29*0.15</x:f>
        <x:v>0</x:v>
      </x:c>
      <x:c r="J29" s="37"/>
      <x:c r="K29" s="38" t="n">
        <x:f>I29-J29</x:f>
        <x:v>0</x:v>
      </x:c>
      <x:c r="L29" s="34" t="str">
        <x:f>IF(I29&gt;=80,"Healthy",IF(I29&gt;=60,"Watch",IF(I29&gt;=40,"At Risk","Critical")))</x:f>
        <x:v>Critical</x:v>
      </x:c>
      <x:c r="M29" s="34" t="str">
        <x:f>IF(L29="Healthy","Maintain engagement and assess growth opportunities",IF(L29="Watch","Investigate declining signals and address friction early",IF(L29="At Risk","Create an account recovery plan and increase engagement","Escalate, align stakeholders, and begin immediate intervention")))</x:f>
        <x:v>Escalate, align stakeholders, and begin immediate intervention</x:v>
      </x:c>
    </x:row>
    <x:row r="30">
      <x:c r="A30" s="34"/>
      <x:c r="B30" s="35"/>
      <x:c r="C30" s="36"/>
      <x:c r="D30" s="37"/>
      <x:c r="E30" s="37"/>
      <x:c r="F30" s="37"/>
      <x:c r="G30" s="37"/>
      <x:c r="H30" s="37"/>
      <x:c r="I30" s="37" t="n">
        <x:f>D30*0.30+E30*0.20+F30*0.20+G30*0.15+H30*0.15</x:f>
        <x:v>0</x:v>
      </x:c>
      <x:c r="J30" s="37"/>
      <x:c r="K30" s="38" t="n">
        <x:f>I30-J30</x:f>
        <x:v>0</x:v>
      </x:c>
      <x:c r="L30" s="34" t="str">
        <x:f>IF(I30&gt;=80,"Healthy",IF(I30&gt;=60,"Watch",IF(I30&gt;=40,"At Risk","Critical")))</x:f>
        <x:v>Critical</x:v>
      </x:c>
      <x:c r="M30" s="34" t="str">
        <x:f>IF(L30="Healthy","Maintain engagement and assess growth opportunities",IF(L30="Watch","Investigate declining signals and address friction early",IF(L30="At Risk","Create an account recovery plan and increase engagement","Escalate, align stakeholders, and begin immediate intervention")))</x:f>
        <x:v>Escalate, align stakeholders, and begin immediate intervention</x:v>
      </x:c>
    </x:row>
    <x:row r="31">
      <x:c r="A31" s="34"/>
      <x:c r="B31" s="35"/>
      <x:c r="C31" s="36"/>
      <x:c r="D31" s="37"/>
      <x:c r="E31" s="37"/>
      <x:c r="F31" s="37"/>
      <x:c r="G31" s="37"/>
      <x:c r="H31" s="37"/>
      <x:c r="I31" s="37" t="n">
        <x:f>D31*0.30+E31*0.20+F31*0.20+G31*0.15+H31*0.15</x:f>
        <x:v>0</x:v>
      </x:c>
      <x:c r="J31" s="37"/>
      <x:c r="K31" s="38" t="n">
        <x:f>I31-J31</x:f>
        <x:v>0</x:v>
      </x:c>
      <x:c r="L31" s="34" t="str">
        <x:f>IF(I31&gt;=80,"Healthy",IF(I31&gt;=60,"Watch",IF(I31&gt;=40,"At Risk","Critical")))</x:f>
        <x:v>Critical</x:v>
      </x:c>
      <x:c r="M31" s="34" t="str">
        <x:f>IF(L31="Healthy","Maintain engagement and assess growth opportunities",IF(L31="Watch","Investigate declining signals and address friction early",IF(L31="At Risk","Create an account recovery plan and increase engagement","Escalate, align stakeholders, and begin immediate intervention")))</x:f>
        <x:v>Escalate, align stakeholders, and begin immediate intervention</x:v>
      </x:c>
    </x:row>
    <x:row r="32">
      <x:c r="A32" s="34"/>
      <x:c r="B32" s="35"/>
      <x:c r="C32" s="36"/>
      <x:c r="D32" s="37"/>
      <x:c r="E32" s="37"/>
      <x:c r="F32" s="37"/>
      <x:c r="G32" s="37"/>
      <x:c r="H32" s="37"/>
      <x:c r="I32" s="37" t="n">
        <x:f>D32*0.30+E32*0.20+F32*0.20+G32*0.15+H32*0.15</x:f>
        <x:v>0</x:v>
      </x:c>
      <x:c r="J32" s="37"/>
      <x:c r="K32" s="38" t="n">
        <x:f>I32-J32</x:f>
        <x:v>0</x:v>
      </x:c>
      <x:c r="L32" s="34" t="str">
        <x:f>IF(I32&gt;=80,"Healthy",IF(I32&gt;=60,"Watch",IF(I32&gt;=40,"At Risk","Critical")))</x:f>
        <x:v>Critical</x:v>
      </x:c>
      <x:c r="M32" s="34" t="str">
        <x:f>IF(L32="Healthy","Maintain engagement and assess growth opportunities",IF(L32="Watch","Investigate declining signals and address friction early",IF(L32="At Risk","Create an account recovery plan and increase engagement","Escalate, align stakeholders, and begin immediate intervention")))</x:f>
        <x:v>Escalate, align stakeholders, and begin immediate intervention</x:v>
      </x:c>
    </x:row>
    <x:row r="33">
      <x:c r="A33" s="34"/>
      <x:c r="B33" s="35"/>
      <x:c r="C33" s="36"/>
      <x:c r="D33" s="37"/>
      <x:c r="E33" s="37"/>
      <x:c r="F33" s="37"/>
      <x:c r="G33" s="37"/>
      <x:c r="H33" s="37"/>
      <x:c r="I33" s="37" t="n">
        <x:f>D33*0.30+E33*0.20+F33*0.20+G33*0.15+H33*0.15</x:f>
        <x:v>0</x:v>
      </x:c>
      <x:c r="J33" s="37"/>
      <x:c r="K33" s="38" t="n">
        <x:f>I33-J33</x:f>
        <x:v>0</x:v>
      </x:c>
      <x:c r="L33" s="34" t="str">
        <x:f>IF(I33&gt;=80,"Healthy",IF(I33&gt;=60,"Watch",IF(I33&gt;=40,"At Risk","Critical")))</x:f>
        <x:v>Critical</x:v>
      </x:c>
      <x:c r="M33" s="34" t="str">
        <x:f>IF(L33="Healthy","Maintain engagement and assess growth opportunities",IF(L33="Watch","Investigate declining signals and address friction early",IF(L33="At Risk","Create an account recovery plan and increase engagement","Escalate, align stakeholders, and begin immediate intervention")))</x:f>
        <x:v>Escalate, align stakeholders, and begin immediate intervention</x:v>
      </x:c>
    </x:row>
    <x:row r="34">
      <x:c r="A34" s="34"/>
      <x:c r="B34" s="35"/>
      <x:c r="C34" s="36"/>
      <x:c r="D34" s="37"/>
      <x:c r="E34" s="37"/>
      <x:c r="F34" s="37"/>
      <x:c r="G34" s="37"/>
      <x:c r="H34" s="37"/>
      <x:c r="I34" s="37" t="n">
        <x:f>D34*0.30+E34*0.20+F34*0.20+G34*0.15+H34*0.15</x:f>
        <x:v>0</x:v>
      </x:c>
      <x:c r="J34" s="37"/>
      <x:c r="K34" s="38" t="n">
        <x:f>I34-J34</x:f>
        <x:v>0</x:v>
      </x:c>
      <x:c r="L34" s="34" t="str">
        <x:f>IF(I34&gt;=80,"Healthy",IF(I34&gt;=60,"Watch",IF(I34&gt;=40,"At Risk","Critical")))</x:f>
        <x:v>Critical</x:v>
      </x:c>
      <x:c r="M34" s="34" t="str">
        <x:f>IF(L34="Healthy","Maintain engagement and assess growth opportunities",IF(L34="Watch","Investigate declining signals and address friction early",IF(L34="At Risk","Create an account recovery plan and increase engagement","Escalate, align stakeholders, and begin immediate intervention")))</x:f>
        <x:v>Escalate, align stakeholders, and begin immediate intervention</x:v>
      </x:c>
    </x:row>
    <x:row r="35">
      <x:c r="A35" s="34"/>
      <x:c r="B35" s="35"/>
      <x:c r="C35" s="36"/>
      <x:c r="D35" s="37"/>
      <x:c r="E35" s="37"/>
      <x:c r="F35" s="37"/>
      <x:c r="G35" s="37"/>
      <x:c r="H35" s="37"/>
      <x:c r="I35" s="37" t="n">
        <x:f>D35*0.30+E35*0.20+F35*0.20+G35*0.15+H35*0.15</x:f>
        <x:v>0</x:v>
      </x:c>
      <x:c r="J35" s="37"/>
      <x:c r="K35" s="38" t="n">
        <x:f>I35-J35</x:f>
        <x:v>0</x:v>
      </x:c>
      <x:c r="L35" s="34" t="str">
        <x:f>IF(I35&gt;=80,"Healthy",IF(I35&gt;=60,"Watch",IF(I35&gt;=40,"At Risk","Critical")))</x:f>
        <x:v>Critical</x:v>
      </x:c>
      <x:c r="M35" s="34" t="str">
        <x:f>IF(L35="Healthy","Maintain engagement and assess growth opportunities",IF(L35="Watch","Investigate declining signals and address friction early",IF(L35="At Risk","Create an account recovery plan and increase engagement","Escalate, align stakeholders, and begin immediate intervention")))</x:f>
        <x:v>Escalate, align stakeholders, and begin immediate intervention</x:v>
      </x:c>
    </x:row>
    <x:row r="36">
      <x:c r="A36" s="34"/>
      <x:c r="B36" s="35"/>
      <x:c r="C36" s="36"/>
      <x:c r="D36" s="37"/>
      <x:c r="E36" s="37"/>
      <x:c r="F36" s="37"/>
      <x:c r="G36" s="37"/>
      <x:c r="H36" s="37"/>
      <x:c r="I36" s="37" t="n">
        <x:f>D36*0.30+E36*0.20+F36*0.20+G36*0.15+H36*0.15</x:f>
        <x:v>0</x:v>
      </x:c>
      <x:c r="J36" s="37"/>
      <x:c r="K36" s="38" t="n">
        <x:f>I36-J36</x:f>
        <x:v>0</x:v>
      </x:c>
      <x:c r="L36" s="34" t="str">
        <x:f>IF(I36&gt;=80,"Healthy",IF(I36&gt;=60,"Watch",IF(I36&gt;=40,"At Risk","Critical")))</x:f>
        <x:v>Critical</x:v>
      </x:c>
      <x:c r="M36" s="34" t="str">
        <x:f>IF(L36="Healthy","Maintain engagement and assess growth opportunities",IF(L36="Watch","Investigate declining signals and address friction early",IF(L36="At Risk","Create an account recovery plan and increase engagement","Escalate, align stakeholders, and begin immediate intervention")))</x:f>
        <x:v>Escalate, align stakeholders, and begin immediate intervention</x:v>
      </x:c>
    </x:row>
    <x:row r="37">
      <x:c r="A37" s="34"/>
      <x:c r="B37" s="35"/>
      <x:c r="C37" s="36"/>
      <x:c r="D37" s="37"/>
      <x:c r="E37" s="37"/>
      <x:c r="F37" s="37"/>
      <x:c r="G37" s="37"/>
      <x:c r="H37" s="37"/>
      <x:c r="I37" s="37" t="n">
        <x:f>D37*0.30+E37*0.20+F37*0.20+G37*0.15+H37*0.15</x:f>
        <x:v>0</x:v>
      </x:c>
      <x:c r="J37" s="37"/>
      <x:c r="K37" s="38" t="n">
        <x:f>I37-J37</x:f>
        <x:v>0</x:v>
      </x:c>
      <x:c r="L37" s="34" t="str">
        <x:f>IF(I37&gt;=80,"Healthy",IF(I37&gt;=60,"Watch",IF(I37&gt;=40,"At Risk","Critical")))</x:f>
        <x:v>Critical</x:v>
      </x:c>
      <x:c r="M37" s="34" t="str">
        <x:f>IF(L37="Healthy","Maintain engagement and assess growth opportunities",IF(L37="Watch","Investigate declining signals and address friction early",IF(L37="At Risk","Create an account recovery plan and increase engagement","Escalate, align stakeholders, and begin immediate intervention")))</x:f>
        <x:v>Escalate, align stakeholders, and begin immediate intervention</x:v>
      </x:c>
    </x:row>
    <x:row r="38">
      <x:c r="A38" s="34"/>
      <x:c r="B38" s="35"/>
      <x:c r="C38" s="36"/>
      <x:c r="D38" s="37"/>
      <x:c r="E38" s="37"/>
      <x:c r="F38" s="37"/>
      <x:c r="G38" s="37"/>
      <x:c r="H38" s="37"/>
      <x:c r="I38" s="37" t="n">
        <x:f>D38*0.30+E38*0.20+F38*0.20+G38*0.15+H38*0.15</x:f>
        <x:v>0</x:v>
      </x:c>
      <x:c r="J38" s="37"/>
      <x:c r="K38" s="38" t="n">
        <x:f>I38-J38</x:f>
        <x:v>0</x:v>
      </x:c>
      <x:c r="L38" s="34" t="str">
        <x:f>IF(I38&gt;=80,"Healthy",IF(I38&gt;=60,"Watch",IF(I38&gt;=40,"At Risk","Critical")))</x:f>
        <x:v>Critical</x:v>
      </x:c>
      <x:c r="M38" s="34" t="str">
        <x:f>IF(L38="Healthy","Maintain engagement and assess growth opportunities",IF(L38="Watch","Investigate declining signals and address friction early",IF(L38="At Risk","Create an account recovery plan and increase engagement","Escalate, align stakeholders, and begin immediate intervention")))</x:f>
        <x:v>Escalate, align stakeholders, and begin immediate intervention</x:v>
      </x:c>
    </x:row>
    <x:row r="39">
      <x:c r="A39" s="34"/>
      <x:c r="B39" s="35"/>
      <x:c r="C39" s="36"/>
      <x:c r="D39" s="37"/>
      <x:c r="E39" s="37"/>
      <x:c r="F39" s="37"/>
      <x:c r="G39" s="37"/>
      <x:c r="H39" s="37"/>
      <x:c r="I39" s="37" t="n">
        <x:f>D39*0.30+E39*0.20+F39*0.20+G39*0.15+H39*0.15</x:f>
        <x:v>0</x:v>
      </x:c>
      <x:c r="J39" s="37"/>
      <x:c r="K39" s="38" t="n">
        <x:f>I39-J39</x:f>
        <x:v>0</x:v>
      </x:c>
      <x:c r="L39" s="34" t="str">
        <x:f>IF(I39&gt;=80,"Healthy",IF(I39&gt;=60,"Watch",IF(I39&gt;=40,"At Risk","Critical")))</x:f>
        <x:v>Critical</x:v>
      </x:c>
      <x:c r="M39" s="34" t="str">
        <x:f>IF(L39="Healthy","Maintain engagement and assess growth opportunities",IF(L39="Watch","Investigate declining signals and address friction early",IF(L39="At Risk","Create an account recovery plan and increase engagement","Escalate, align stakeholders, and begin immediate intervention")))</x:f>
        <x:v>Escalate, align stakeholders, and begin immediate intervention</x:v>
      </x:c>
    </x:row>
    <x:row r="40">
      <x:c r="A40" s="34"/>
      <x:c r="B40" s="35"/>
      <x:c r="C40" s="36"/>
      <x:c r="D40" s="37"/>
      <x:c r="E40" s="37"/>
      <x:c r="F40" s="37"/>
      <x:c r="G40" s="37"/>
      <x:c r="H40" s="37"/>
      <x:c r="I40" s="37" t="n">
        <x:f>D40*0.30+E40*0.20+F40*0.20+G40*0.15+H40*0.15</x:f>
        <x:v>0</x:v>
      </x:c>
      <x:c r="J40" s="37"/>
      <x:c r="K40" s="38" t="n">
        <x:f>I40-J40</x:f>
        <x:v>0</x:v>
      </x:c>
      <x:c r="L40" s="34" t="str">
        <x:f>IF(I40&gt;=80,"Healthy",IF(I40&gt;=60,"Watch",IF(I40&gt;=40,"At Risk","Critical")))</x:f>
        <x:v>Critical</x:v>
      </x:c>
      <x:c r="M40" s="34" t="str">
        <x:f>IF(L40="Healthy","Maintain engagement and assess growth opportunities",IF(L40="Watch","Investigate declining signals and address friction early",IF(L40="At Risk","Create an account recovery plan and increase engagement","Escalate, align stakeholders, and begin immediate intervention")))</x:f>
        <x:v>Escalate, align stakeholders, and begin immediate intervention</x:v>
      </x:c>
    </x:row>
    <x:row r="41">
      <x:c r="A41" s="34"/>
      <x:c r="B41" s="35"/>
      <x:c r="C41" s="36"/>
      <x:c r="D41" s="37"/>
      <x:c r="E41" s="37"/>
      <x:c r="F41" s="37"/>
      <x:c r="G41" s="37"/>
      <x:c r="H41" s="37"/>
      <x:c r="I41" s="37" t="n">
        <x:f>D41*0.30+E41*0.20+F41*0.20+G41*0.15+H41*0.15</x:f>
        <x:v>0</x:v>
      </x:c>
      <x:c r="J41" s="37"/>
      <x:c r="K41" s="38" t="n">
        <x:f>I41-J41</x:f>
        <x:v>0</x:v>
      </x:c>
      <x:c r="L41" s="34" t="str">
        <x:f>IF(I41&gt;=80,"Healthy",IF(I41&gt;=60,"Watch",IF(I41&gt;=40,"At Risk","Critical")))</x:f>
        <x:v>Critical</x:v>
      </x:c>
      <x:c r="M41" s="34" t="str">
        <x:f>IF(L41="Healthy","Maintain engagement and assess growth opportunities",IF(L41="Watch","Investigate declining signals and address friction early",IF(L41="At Risk","Create an account recovery plan and increase engagement","Escalate, align stakeholders, and begin immediate intervention")))</x:f>
        <x:v>Escalate, align stakeholders, and begin immediate intervention</x:v>
      </x:c>
    </x:row>
    <x:row r="42">
      <x:c r="A42" s="34"/>
      <x:c r="B42" s="35"/>
      <x:c r="C42" s="36"/>
      <x:c r="D42" s="37"/>
      <x:c r="E42" s="37"/>
      <x:c r="F42" s="37"/>
      <x:c r="G42" s="37"/>
      <x:c r="H42" s="37"/>
      <x:c r="I42" s="37" t="n">
        <x:f>D42*0.30+E42*0.20+F42*0.20+G42*0.15+H42*0.15</x:f>
        <x:v>0</x:v>
      </x:c>
      <x:c r="J42" s="37"/>
      <x:c r="K42" s="38" t="n">
        <x:f>I42-J42</x:f>
        <x:v>0</x:v>
      </x:c>
      <x:c r="L42" s="34" t="str">
        <x:f>IF(I42&gt;=80,"Healthy",IF(I42&gt;=60,"Watch",IF(I42&gt;=40,"At Risk","Critical")))</x:f>
        <x:v>Critical</x:v>
      </x:c>
      <x:c r="M42" s="34" t="str">
        <x:f>IF(L42="Healthy","Maintain engagement and assess growth opportunities",IF(L42="Watch","Investigate declining signals and address friction early",IF(L42="At Risk","Create an account recovery plan and increase engagement","Escalate, align stakeholders, and begin immediate intervention")))</x:f>
        <x:v>Escalate, align stakeholders, and begin immediate intervention</x:v>
      </x:c>
    </x:row>
    <x:row r="43">
      <x:c r="A43" s="34"/>
      <x:c r="B43" s="35"/>
      <x:c r="C43" s="36"/>
      <x:c r="D43" s="37"/>
      <x:c r="E43" s="37"/>
      <x:c r="F43" s="37"/>
      <x:c r="G43" s="37"/>
      <x:c r="H43" s="37"/>
      <x:c r="I43" s="37" t="n">
        <x:f>D43*0.30+E43*0.20+F43*0.20+G43*0.15+H43*0.15</x:f>
        <x:v>0</x:v>
      </x:c>
      <x:c r="J43" s="37"/>
      <x:c r="K43" s="38" t="n">
        <x:f>I43-J43</x:f>
        <x:v>0</x:v>
      </x:c>
      <x:c r="L43" s="34" t="str">
        <x:f>IF(I43&gt;=80,"Healthy",IF(I43&gt;=60,"Watch",IF(I43&gt;=40,"At Risk","Critical")))</x:f>
        <x:v>Critical</x:v>
      </x:c>
      <x:c r="M43" s="34" t="str">
        <x:f>IF(L43="Healthy","Maintain engagement and assess growth opportunities",IF(L43="Watch","Investigate declining signals and address friction early",IF(L43="At Risk","Create an account recovery plan and increase engagement","Escalate, align stakeholders, and begin immediate intervention")))</x:f>
        <x:v>Escalate, align stakeholders, and begin immediate intervention</x:v>
      </x:c>
    </x:row>
    <x:row r="44">
      <x:c r="A44" s="34"/>
      <x:c r="B44" s="35"/>
      <x:c r="C44" s="36"/>
      <x:c r="D44" s="37"/>
      <x:c r="E44" s="37"/>
      <x:c r="F44" s="37"/>
      <x:c r="G44" s="37"/>
      <x:c r="H44" s="37"/>
      <x:c r="I44" s="37" t="n">
        <x:f>D44*0.30+E44*0.20+F44*0.20+G44*0.15+H44*0.15</x:f>
        <x:v>0</x:v>
      </x:c>
      <x:c r="J44" s="37"/>
      <x:c r="K44" s="38" t="n">
        <x:f>I44-J44</x:f>
        <x:v>0</x:v>
      </x:c>
      <x:c r="L44" s="34" t="str">
        <x:f>IF(I44&gt;=80,"Healthy",IF(I44&gt;=60,"Watch",IF(I44&gt;=40,"At Risk","Critical")))</x:f>
        <x:v>Critical</x:v>
      </x:c>
      <x:c r="M44" s="34" t="str">
        <x:f>IF(L44="Healthy","Maintain engagement and assess growth opportunities",IF(L44="Watch","Investigate declining signals and address friction early",IF(L44="At Risk","Create an account recovery plan and increase engagement","Escalate, align stakeholders, and begin immediate intervention")))</x:f>
        <x:v>Escalate, align stakeholders, and begin immediate intervention</x:v>
      </x:c>
    </x:row>
    <x:row r="45">
      <x:c r="A45" s="34"/>
      <x:c r="B45" s="35"/>
      <x:c r="C45" s="36"/>
      <x:c r="D45" s="37"/>
      <x:c r="E45" s="37"/>
      <x:c r="F45" s="37"/>
      <x:c r="G45" s="37"/>
      <x:c r="H45" s="37"/>
      <x:c r="I45" s="37" t="n">
        <x:f>D45*0.30+E45*0.20+F45*0.20+G45*0.15+H45*0.15</x:f>
        <x:v>0</x:v>
      </x:c>
      <x:c r="J45" s="37"/>
      <x:c r="K45" s="38" t="n">
        <x:f>I45-J45</x:f>
        <x:v>0</x:v>
      </x:c>
      <x:c r="L45" s="34" t="str">
        <x:f>IF(I45&gt;=80,"Healthy",IF(I45&gt;=60,"Watch",IF(I45&gt;=40,"At Risk","Critical")))</x:f>
        <x:v>Critical</x:v>
      </x:c>
      <x:c r="M45" s="34" t="str">
        <x:f>IF(L45="Healthy","Maintain engagement and assess growth opportunities",IF(L45="Watch","Investigate declining signals and address friction early",IF(L45="At Risk","Create an account recovery plan and increase engagement","Escalate, align stakeholders, and begin immediate intervention")))</x:f>
        <x:v>Escalate, align stakeholders, and begin immediate intervention</x:v>
      </x:c>
    </x:row>
    <x:row r="46">
      <x:c r="A46" s="34"/>
      <x:c r="B46" s="35"/>
      <x:c r="C46" s="36"/>
      <x:c r="D46" s="37"/>
      <x:c r="E46" s="37"/>
      <x:c r="F46" s="37"/>
      <x:c r="G46" s="37"/>
      <x:c r="H46" s="37"/>
      <x:c r="I46" s="37" t="n">
        <x:f>D46*0.30+E46*0.20+F46*0.20+G46*0.15+H46*0.15</x:f>
        <x:v>0</x:v>
      </x:c>
      <x:c r="J46" s="37"/>
      <x:c r="K46" s="38" t="n">
        <x:f>I46-J46</x:f>
        <x:v>0</x:v>
      </x:c>
      <x:c r="L46" s="34" t="str">
        <x:f>IF(I46&gt;=80,"Healthy",IF(I46&gt;=60,"Watch",IF(I46&gt;=40,"At Risk","Critical")))</x:f>
        <x:v>Critical</x:v>
      </x:c>
      <x:c r="M46" s="34" t="str">
        <x:f>IF(L46="Healthy","Maintain engagement and assess growth opportunities",IF(L46="Watch","Investigate declining signals and address friction early",IF(L46="At Risk","Create an account recovery plan and increase engagement","Escalate, align stakeholders, and begin immediate intervention")))</x:f>
        <x:v>Escalate, align stakeholders, and begin immediate intervention</x:v>
      </x:c>
    </x:row>
    <x:row r="47">
      <x:c r="A47" s="34"/>
      <x:c r="B47" s="35"/>
      <x:c r="C47" s="36"/>
      <x:c r="D47" s="37"/>
      <x:c r="E47" s="37"/>
      <x:c r="F47" s="37"/>
      <x:c r="G47" s="37"/>
      <x:c r="H47" s="37"/>
      <x:c r="I47" s="37" t="n">
        <x:f>D47*0.30+E47*0.20+F47*0.20+G47*0.15+H47*0.15</x:f>
        <x:v>0</x:v>
      </x:c>
      <x:c r="J47" s="37"/>
      <x:c r="K47" s="38" t="n">
        <x:f>I47-J47</x:f>
        <x:v>0</x:v>
      </x:c>
      <x:c r="L47" s="34" t="str">
        <x:f>IF(I47&gt;=80,"Healthy",IF(I47&gt;=60,"Watch",IF(I47&gt;=40,"At Risk","Critical")))</x:f>
        <x:v>Critical</x:v>
      </x:c>
      <x:c r="M47" s="34" t="str">
        <x:f>IF(L47="Healthy","Maintain engagement and assess growth opportunities",IF(L47="Watch","Investigate declining signals and address friction early",IF(L47="At Risk","Create an account recovery plan and increase engagement","Escalate, align stakeholders, and begin immediate intervention")))</x:f>
        <x:v>Escalate, align stakeholders, and begin immediate intervention</x:v>
      </x:c>
    </x:row>
    <x:row r="48">
      <x:c r="A48" s="34"/>
      <x:c r="B48" s="35"/>
      <x:c r="C48" s="36"/>
      <x:c r="D48" s="37"/>
      <x:c r="E48" s="37"/>
      <x:c r="F48" s="37"/>
      <x:c r="G48" s="37"/>
      <x:c r="H48" s="37"/>
      <x:c r="I48" s="37" t="n">
        <x:f>D48*0.30+E48*0.20+F48*0.20+G48*0.15+H48*0.15</x:f>
        <x:v>0</x:v>
      </x:c>
      <x:c r="J48" s="37"/>
      <x:c r="K48" s="38" t="n">
        <x:f>I48-J48</x:f>
        <x:v>0</x:v>
      </x:c>
      <x:c r="L48" s="34" t="str">
        <x:f>IF(I48&gt;=80,"Healthy",IF(I48&gt;=60,"Watch",IF(I48&gt;=40,"At Risk","Critical")))</x:f>
        <x:v>Critical</x:v>
      </x:c>
      <x:c r="M48" s="34" t="str">
        <x:f>IF(L48="Healthy","Maintain engagement and assess growth opportunities",IF(L48="Watch","Investigate declining signals and address friction early",IF(L48="At Risk","Create an account recovery plan and increase engagement","Escalate, align stakeholders, and begin immediate intervention")))</x:f>
        <x:v>Escalate, align stakeholders, and begin immediate intervention</x:v>
      </x:c>
    </x:row>
    <x:row r="49">
      <x:c r="A49" s="34"/>
      <x:c r="B49" s="35"/>
      <x:c r="C49" s="36"/>
      <x:c r="D49" s="37"/>
      <x:c r="E49" s="37"/>
      <x:c r="F49" s="37"/>
      <x:c r="G49" s="37"/>
      <x:c r="H49" s="37"/>
      <x:c r="I49" s="37" t="n">
        <x:f>D49*0.30+E49*0.20+F49*0.20+G49*0.15+H49*0.15</x:f>
        <x:v>0</x:v>
      </x:c>
      <x:c r="J49" s="37"/>
      <x:c r="K49" s="38" t="n">
        <x:f>I49-J49</x:f>
        <x:v>0</x:v>
      </x:c>
      <x:c r="L49" s="34" t="str">
        <x:f>IF(I49&gt;=80,"Healthy",IF(I49&gt;=60,"Watch",IF(I49&gt;=40,"At Risk","Critical")))</x:f>
        <x:v>Critical</x:v>
      </x:c>
      <x:c r="M49" s="34" t="str">
        <x:f>IF(L49="Healthy","Maintain engagement and assess growth opportunities",IF(L49="Watch","Investigate declining signals and address friction early",IF(L49="At Risk","Create an account recovery plan and increase engagement","Escalate, align stakeholders, and begin immediate intervention")))</x:f>
        <x:v>Escalate, align stakeholders, and begin immediate intervention</x:v>
      </x:c>
    </x:row>
    <x:row r="50">
      <x:c r="A50" s="34"/>
      <x:c r="B50" s="35"/>
      <x:c r="C50" s="36"/>
      <x:c r="D50" s="37"/>
      <x:c r="E50" s="37"/>
      <x:c r="F50" s="37"/>
      <x:c r="G50" s="37"/>
      <x:c r="H50" s="37"/>
      <x:c r="I50" s="37" t="n">
        <x:f>D50*0.30+E50*0.20+F50*0.20+G50*0.15+H50*0.15</x:f>
        <x:v>0</x:v>
      </x:c>
      <x:c r="J50" s="37"/>
      <x:c r="K50" s="38" t="n">
        <x:f>I50-J50</x:f>
        <x:v>0</x:v>
      </x:c>
      <x:c r="L50" s="34" t="str">
        <x:f>IF(I50&gt;=80,"Healthy",IF(I50&gt;=60,"Watch",IF(I50&gt;=40,"At Risk","Critical")))</x:f>
        <x:v>Critical</x:v>
      </x:c>
      <x:c r="M50" s="34" t="str">
        <x:f>IF(L50="Healthy","Maintain engagement and assess growth opportunities",IF(L50="Watch","Investigate declining signals and address friction early",IF(L50="At Risk","Create an account recovery plan and increase engagement","Escalate, align stakeholders, and begin immediate intervention")))</x:f>
        <x:v>Escalate, align stakeholders, and begin immediate intervention</x:v>
      </x:c>
    </x:row>
    <x:row r="51">
      <x:c r="A51" s="34"/>
      <x:c r="B51" s="35"/>
      <x:c r="C51" s="36"/>
      <x:c r="D51" s="37"/>
      <x:c r="E51" s="37"/>
      <x:c r="F51" s="37"/>
      <x:c r="G51" s="37"/>
      <x:c r="H51" s="37"/>
      <x:c r="I51" s="37" t="n">
        <x:f>D51*0.30+E51*0.20+F51*0.20+G51*0.15+H51*0.15</x:f>
        <x:v>0</x:v>
      </x:c>
      <x:c r="J51" s="37"/>
      <x:c r="K51" s="38" t="n">
        <x:f>I51-J51</x:f>
        <x:v>0</x:v>
      </x:c>
      <x:c r="L51" s="34" t="str">
        <x:f>IF(I51&gt;=80,"Healthy",IF(I51&gt;=60,"Watch",IF(I51&gt;=40,"At Risk","Critical")))</x:f>
        <x:v>Critical</x:v>
      </x:c>
      <x:c r="M51" s="34" t="str">
        <x:f>IF(L51="Healthy","Maintain engagement and assess growth opportunities",IF(L51="Watch","Investigate declining signals and address friction early",IF(L51="At Risk","Create an account recovery plan and increase engagement","Escalate, align stakeholders, and begin immediate intervention")))</x:f>
        <x:v>Escalate, align stakeholders, and begin immediate intervention</x:v>
      </x:c>
    </x:row>
    <x:row r="52">
      <x:c r="A52" s="34"/>
      <x:c r="B52" s="35"/>
      <x:c r="C52" s="36"/>
      <x:c r="D52" s="37"/>
      <x:c r="E52" s="37"/>
      <x:c r="F52" s="37"/>
      <x:c r="G52" s="37"/>
      <x:c r="H52" s="37"/>
      <x:c r="I52" s="37" t="n">
        <x:f>D52*0.30+E52*0.20+F52*0.20+G52*0.15+H52*0.15</x:f>
        <x:v>0</x:v>
      </x:c>
      <x:c r="J52" s="37"/>
      <x:c r="K52" s="38" t="n">
        <x:f>I52-J52</x:f>
        <x:v>0</x:v>
      </x:c>
      <x:c r="L52" s="34" t="str">
        <x:f>IF(I52&gt;=80,"Healthy",IF(I52&gt;=60,"Watch",IF(I52&gt;=40,"At Risk","Critical")))</x:f>
        <x:v>Critical</x:v>
      </x:c>
      <x:c r="M52" s="34" t="str">
        <x:f>IF(L52="Healthy","Maintain engagement and assess growth opportunities",IF(L52="Watch","Investigate declining signals and address friction early",IF(L52="At Risk","Create an account recovery plan and increase engagement","Escalate, align stakeholders, and begin immediate intervention")))</x:f>
        <x:v>Escalate, align stakeholders, and begin immediate intervention</x:v>
      </x:c>
    </x:row>
    <x:row r="53">
      <x:c r="A53" s="34"/>
      <x:c r="B53" s="35"/>
      <x:c r="C53" s="36"/>
      <x:c r="D53" s="37"/>
      <x:c r="E53" s="37"/>
      <x:c r="F53" s="37"/>
      <x:c r="G53" s="37"/>
      <x:c r="H53" s="37"/>
      <x:c r="I53" s="37" t="n">
        <x:f>D53*0.30+E53*0.20+F53*0.20+G53*0.15+H53*0.15</x:f>
        <x:v>0</x:v>
      </x:c>
      <x:c r="J53" s="37"/>
      <x:c r="K53" s="38" t="n">
        <x:f>I53-J53</x:f>
        <x:v>0</x:v>
      </x:c>
      <x:c r="L53" s="34" t="str">
        <x:f>IF(I53&gt;=80,"Healthy",IF(I53&gt;=60,"Watch",IF(I53&gt;=40,"At Risk","Critical")))</x:f>
        <x:v>Critical</x:v>
      </x:c>
      <x:c r="M53" s="34" t="str">
        <x:f>IF(L53="Healthy","Maintain engagement and assess growth opportunities",IF(L53="Watch","Investigate declining signals and address friction early",IF(L53="At Risk","Create an account recovery plan and increase engagement","Escalate, align stakeholders, and begin immediate intervention")))</x:f>
        <x:v>Escalate, align stakeholders, and begin immediate intervention</x:v>
      </x:c>
    </x:row>
    <x:row r="54">
      <x:c r="A54" s="34"/>
      <x:c r="B54" s="35"/>
      <x:c r="C54" s="36"/>
      <x:c r="D54" s="37"/>
      <x:c r="E54" s="37"/>
      <x:c r="F54" s="37"/>
      <x:c r="G54" s="37"/>
      <x:c r="H54" s="37"/>
      <x:c r="I54" s="37" t="n">
        <x:f>D54*0.30+E54*0.20+F54*0.20+G54*0.15+H54*0.15</x:f>
        <x:v>0</x:v>
      </x:c>
      <x:c r="J54" s="37"/>
      <x:c r="K54" s="38" t="n">
        <x:f>I54-J54</x:f>
        <x:v>0</x:v>
      </x:c>
      <x:c r="L54" s="34" t="str">
        <x:f>IF(I54&gt;=80,"Healthy",IF(I54&gt;=60,"Watch",IF(I54&gt;=40,"At Risk","Critical")))</x:f>
        <x:v>Critical</x:v>
      </x:c>
      <x:c r="M54" s="34" t="str">
        <x:f>IF(L54="Healthy","Maintain engagement and assess growth opportunities",IF(L54="Watch","Investigate declining signals and address friction early",IF(L54="At Risk","Create an account recovery plan and increase engagement","Escalate, align stakeholders, and begin immediate intervention")))</x:f>
        <x:v>Escalate, align stakeholders, and begin immediate intervention</x:v>
      </x:c>
    </x:row>
    <x:row r="55">
      <x:c r="A55" s="34"/>
      <x:c r="B55" s="35"/>
      <x:c r="C55" s="36"/>
      <x:c r="D55" s="37"/>
      <x:c r="E55" s="37"/>
      <x:c r="F55" s="37"/>
      <x:c r="G55" s="37"/>
      <x:c r="H55" s="37"/>
      <x:c r="I55" s="37" t="n">
        <x:f>D55*0.30+E55*0.20+F55*0.20+G55*0.15+H55*0.15</x:f>
        <x:v>0</x:v>
      </x:c>
      <x:c r="J55" s="37"/>
      <x:c r="K55" s="38" t="n">
        <x:f>I55-J55</x:f>
        <x:v>0</x:v>
      </x:c>
      <x:c r="L55" s="34" t="str">
        <x:f>IF(I55&gt;=80,"Healthy",IF(I55&gt;=60,"Watch",IF(I55&gt;=40,"At Risk","Critical")))</x:f>
        <x:v>Critical</x:v>
      </x:c>
      <x:c r="M55" s="34" t="str">
        <x:f>IF(L55="Healthy","Maintain engagement and assess growth opportunities",IF(L55="Watch","Investigate declining signals and address friction early",IF(L55="At Risk","Create an account recovery plan and increase engagement","Escalate, align stakeholders, and begin immediate intervention")))</x:f>
        <x:v>Escalate, align stakeholders, and begin immediate intervention</x:v>
      </x:c>
    </x:row>
    <x:row r="56">
      <x:c r="A56" s="34"/>
      <x:c r="B56" s="35"/>
      <x:c r="C56" s="36"/>
      <x:c r="D56" s="37"/>
      <x:c r="E56" s="37"/>
      <x:c r="F56" s="37"/>
      <x:c r="G56" s="37"/>
      <x:c r="H56" s="37"/>
      <x:c r="I56" s="37" t="n">
        <x:f>D56*0.30+E56*0.20+F56*0.20+G56*0.15+H56*0.15</x:f>
        <x:v>0</x:v>
      </x:c>
      <x:c r="J56" s="37"/>
      <x:c r="K56" s="38" t="n">
        <x:f>I56-J56</x:f>
        <x:v>0</x:v>
      </x:c>
      <x:c r="L56" s="34" t="str">
        <x:f>IF(I56&gt;=80,"Healthy",IF(I56&gt;=60,"Watch",IF(I56&gt;=40,"At Risk","Critical")))</x:f>
        <x:v>Critical</x:v>
      </x:c>
      <x:c r="M56" s="34" t="str">
        <x:f>IF(L56="Healthy","Maintain engagement and assess growth opportunities",IF(L56="Watch","Investigate declining signals and address friction early",IF(L56="At Risk","Create an account recovery plan and increase engagement","Escalate, align stakeholders, and begin immediate intervention")))</x:f>
        <x:v>Escalate, align stakeholders, and begin immediate intervention</x:v>
      </x:c>
    </x:row>
    <x:row r="57">
      <x:c r="A57" s="34"/>
      <x:c r="B57" s="35"/>
      <x:c r="C57" s="36"/>
      <x:c r="D57" s="37"/>
      <x:c r="E57" s="37"/>
      <x:c r="F57" s="37"/>
      <x:c r="G57" s="37"/>
      <x:c r="H57" s="37"/>
      <x:c r="I57" s="37" t="n">
        <x:f>D57*0.30+E57*0.20+F57*0.20+G57*0.15+H57*0.15</x:f>
        <x:v>0</x:v>
      </x:c>
      <x:c r="J57" s="37"/>
      <x:c r="K57" s="38" t="n">
        <x:f>I57-J57</x:f>
        <x:v>0</x:v>
      </x:c>
      <x:c r="L57" s="34" t="str">
        <x:f>IF(I57&gt;=80,"Healthy",IF(I57&gt;=60,"Watch",IF(I57&gt;=40,"At Risk","Critical")))</x:f>
        <x:v>Critical</x:v>
      </x:c>
      <x:c r="M57" s="34" t="str">
        <x:f>IF(L57="Healthy","Maintain engagement and assess growth opportunities",IF(L57="Watch","Investigate declining signals and address friction early",IF(L57="At Risk","Create an account recovery plan and increase engagement","Escalate, align stakeholders, and begin immediate intervention")))</x:f>
        <x:v>Escalate, align stakeholders, and begin immediate intervention</x:v>
      </x:c>
    </x:row>
    <x:row r="58">
      <x:c r="A58" s="34"/>
      <x:c r="B58" s="35"/>
      <x:c r="C58" s="36"/>
      <x:c r="D58" s="37"/>
      <x:c r="E58" s="37"/>
      <x:c r="F58" s="37"/>
      <x:c r="G58" s="37"/>
      <x:c r="H58" s="37"/>
      <x:c r="I58" s="37" t="n">
        <x:f>D58*0.30+E58*0.20+F58*0.20+G58*0.15+H58*0.15</x:f>
        <x:v>0</x:v>
      </x:c>
      <x:c r="J58" s="37"/>
      <x:c r="K58" s="38" t="n">
        <x:f>I58-J58</x:f>
        <x:v>0</x:v>
      </x:c>
      <x:c r="L58" s="34" t="str">
        <x:f>IF(I58&gt;=80,"Healthy",IF(I58&gt;=60,"Watch",IF(I58&gt;=40,"At Risk","Critical")))</x:f>
        <x:v>Critical</x:v>
      </x:c>
      <x:c r="M58" s="34" t="str">
        <x:f>IF(L58="Healthy","Maintain engagement and assess growth opportunities",IF(L58="Watch","Investigate declining signals and address friction early",IF(L58="At Risk","Create an account recovery plan and increase engagement","Escalate, align stakeholders, and begin immediate intervention")))</x:f>
        <x:v>Escalate, align stakeholders, and begin immediate intervention</x:v>
      </x:c>
    </x:row>
    <x:row r="59">
      <x:c r="A59" s="34"/>
      <x:c r="B59" s="35"/>
      <x:c r="C59" s="36"/>
      <x:c r="D59" s="37"/>
      <x:c r="E59" s="37"/>
      <x:c r="F59" s="37"/>
      <x:c r="G59" s="37"/>
      <x:c r="H59" s="37"/>
      <x:c r="I59" s="37" t="n">
        <x:f>D59*0.30+E59*0.20+F59*0.20+G59*0.15+H59*0.15</x:f>
        <x:v>0</x:v>
      </x:c>
      <x:c r="J59" s="37"/>
      <x:c r="K59" s="38" t="n">
        <x:f>I59-J59</x:f>
        <x:v>0</x:v>
      </x:c>
      <x:c r="L59" s="34" t="str">
        <x:f>IF(I59&gt;=80,"Healthy",IF(I59&gt;=60,"Watch",IF(I59&gt;=40,"At Risk","Critical")))</x:f>
        <x:v>Critical</x:v>
      </x:c>
      <x:c r="M59" s="34" t="str">
        <x:f>IF(L59="Healthy","Maintain engagement and assess growth opportunities",IF(L59="Watch","Investigate declining signals and address friction early",IF(L59="At Risk","Create an account recovery plan and increase engagement","Escalate, align stakeholders, and begin immediate intervention")))</x:f>
        <x:v>Escalate, align stakeholders, and begin immediate intervention</x:v>
      </x:c>
    </x:row>
    <x:row r="60">
      <x:c r="A60" s="34"/>
      <x:c r="B60" s="35"/>
      <x:c r="C60" s="36"/>
      <x:c r="D60" s="37"/>
      <x:c r="E60" s="37"/>
      <x:c r="F60" s="37"/>
      <x:c r="G60" s="37"/>
      <x:c r="H60" s="37"/>
      <x:c r="I60" s="37" t="n">
        <x:f>D60*0.30+E60*0.20+F60*0.20+G60*0.15+H60*0.15</x:f>
        <x:v>0</x:v>
      </x:c>
      <x:c r="J60" s="37"/>
      <x:c r="K60" s="38" t="n">
        <x:f>I60-J60</x:f>
        <x:v>0</x:v>
      </x:c>
      <x:c r="L60" s="34" t="str">
        <x:f>IF(I60&gt;=80,"Healthy",IF(I60&gt;=60,"Watch",IF(I60&gt;=40,"At Risk","Critical")))</x:f>
        <x:v>Critical</x:v>
      </x:c>
      <x:c r="M60" s="34" t="str">
        <x:f>IF(L60="Healthy","Maintain engagement and assess growth opportunities",IF(L60="Watch","Investigate declining signals and address friction early",IF(L60="At Risk","Create an account recovery plan and increase engagement","Escalate, align stakeholders, and begin immediate intervention")))</x:f>
        <x:v>Escalate, align stakeholders, and begin immediate intervention</x:v>
      </x:c>
    </x:row>
    <x:row r="61">
      <x:c r="A61" s="34"/>
      <x:c r="B61" s="35"/>
      <x:c r="C61" s="36"/>
      <x:c r="D61" s="37"/>
      <x:c r="E61" s="37"/>
      <x:c r="F61" s="37"/>
      <x:c r="G61" s="37"/>
      <x:c r="H61" s="37"/>
      <x:c r="I61" s="37" t="n">
        <x:f>D61*0.30+E61*0.20+F61*0.20+G61*0.15+H61*0.15</x:f>
        <x:v>0</x:v>
      </x:c>
      <x:c r="J61" s="37"/>
      <x:c r="K61" s="38" t="n">
        <x:f>I61-J61</x:f>
        <x:v>0</x:v>
      </x:c>
      <x:c r="L61" s="34" t="str">
        <x:f>IF(I61&gt;=80,"Healthy",IF(I61&gt;=60,"Watch",IF(I61&gt;=40,"At Risk","Critical")))</x:f>
        <x:v>Critical</x:v>
      </x:c>
      <x:c r="M61" s="34" t="str">
        <x:f>IF(L61="Healthy","Maintain engagement and assess growth opportunities",IF(L61="Watch","Investigate declining signals and address friction early",IF(L61="At Risk","Create an account recovery plan and increase engagement","Escalate, align stakeholders, and begin immediate intervention")))</x:f>
        <x:v>Escalate, align stakeholders, and begin immediate intervention</x:v>
      </x:c>
    </x:row>
    <x:row r="62">
      <x:c r="A62" s="34"/>
      <x:c r="B62" s="35"/>
      <x:c r="C62" s="36"/>
      <x:c r="D62" s="37"/>
      <x:c r="E62" s="37"/>
      <x:c r="F62" s="37"/>
      <x:c r="G62" s="37"/>
      <x:c r="H62" s="37"/>
      <x:c r="I62" s="37" t="n">
        <x:f>D62*0.30+E62*0.20+F62*0.20+G62*0.15+H62*0.15</x:f>
        <x:v>0</x:v>
      </x:c>
      <x:c r="J62" s="37"/>
      <x:c r="K62" s="38" t="n">
        <x:f>I62-J62</x:f>
        <x:v>0</x:v>
      </x:c>
      <x:c r="L62" s="34" t="str">
        <x:f>IF(I62&gt;=80,"Healthy",IF(I62&gt;=60,"Watch",IF(I62&gt;=40,"At Risk","Critical")))</x:f>
        <x:v>Critical</x:v>
      </x:c>
      <x:c r="M62" s="34" t="str">
        <x:f>IF(L62="Healthy","Maintain engagement and assess growth opportunities",IF(L62="Watch","Investigate declining signals and address friction early",IF(L62="At Risk","Create an account recovery plan and increase engagement","Escalate, align stakeholders, and begin immediate intervention")))</x:f>
        <x:v>Escalate, align stakeholders, and begin immediate intervention</x:v>
      </x:c>
    </x:row>
    <x:row r="63">
      <x:c r="A63" s="34"/>
      <x:c r="B63" s="35"/>
      <x:c r="C63" s="36"/>
      <x:c r="D63" s="37"/>
      <x:c r="E63" s="37"/>
      <x:c r="F63" s="37"/>
      <x:c r="G63" s="37"/>
      <x:c r="H63" s="37"/>
      <x:c r="I63" s="37" t="n">
        <x:f>D63*0.30+E63*0.20+F63*0.20+G63*0.15+H63*0.15</x:f>
        <x:v>0</x:v>
      </x:c>
      <x:c r="J63" s="37"/>
      <x:c r="K63" s="38" t="n">
        <x:f>I63-J63</x:f>
        <x:v>0</x:v>
      </x:c>
      <x:c r="L63" s="34" t="str">
        <x:f>IF(I63&gt;=80,"Healthy",IF(I63&gt;=60,"Watch",IF(I63&gt;=40,"At Risk","Critical")))</x:f>
        <x:v>Critical</x:v>
      </x:c>
      <x:c r="M63" s="34" t="str">
        <x:f>IF(L63="Healthy","Maintain engagement and assess growth opportunities",IF(L63="Watch","Investigate declining signals and address friction early",IF(L63="At Risk","Create an account recovery plan and increase engagement","Escalate, align stakeholders, and begin immediate intervention")))</x:f>
        <x:v>Escalate, align stakeholders, and begin immediate intervention</x:v>
      </x:c>
    </x:row>
    <x:row r="64">
      <x:c r="A64" s="34"/>
      <x:c r="B64" s="35"/>
      <x:c r="C64" s="36"/>
      <x:c r="D64" s="37"/>
      <x:c r="E64" s="37"/>
      <x:c r="F64" s="37"/>
      <x:c r="G64" s="37"/>
      <x:c r="H64" s="37"/>
      <x:c r="I64" s="37" t="n">
        <x:f>D64*0.30+E64*0.20+F64*0.20+G64*0.15+H64*0.15</x:f>
        <x:v>0</x:v>
      </x:c>
      <x:c r="J64" s="37"/>
      <x:c r="K64" s="38" t="n">
        <x:f>I64-J64</x:f>
        <x:v>0</x:v>
      </x:c>
      <x:c r="L64" s="34" t="str">
        <x:f>IF(I64&gt;=80,"Healthy",IF(I64&gt;=60,"Watch",IF(I64&gt;=40,"At Risk","Critical")))</x:f>
        <x:v>Critical</x:v>
      </x:c>
      <x:c r="M64" s="34" t="str">
        <x:f>IF(L64="Healthy","Maintain engagement and assess growth opportunities",IF(L64="Watch","Investigate declining signals and address friction early",IF(L64="At Risk","Create an account recovery plan and increase engagement","Escalate, align stakeholders, and begin immediate intervention")))</x:f>
        <x:v>Escalate, align stakeholders, and begin immediate intervention</x:v>
      </x:c>
    </x:row>
    <x:row r="65">
      <x:c r="A65" s="34"/>
      <x:c r="B65" s="35"/>
      <x:c r="C65" s="36"/>
      <x:c r="D65" s="37"/>
      <x:c r="E65" s="37"/>
      <x:c r="F65" s="37"/>
      <x:c r="G65" s="37"/>
      <x:c r="H65" s="37"/>
      <x:c r="I65" s="37" t="n">
        <x:f>D65*0.30+E65*0.20+F65*0.20+G65*0.15+H65*0.15</x:f>
        <x:v>0</x:v>
      </x:c>
      <x:c r="J65" s="37"/>
      <x:c r="K65" s="38" t="n">
        <x:f>I65-J65</x:f>
        <x:v>0</x:v>
      </x:c>
      <x:c r="L65" s="34" t="str">
        <x:f>IF(I65&gt;=80,"Healthy",IF(I65&gt;=60,"Watch",IF(I65&gt;=40,"At Risk","Critical")))</x:f>
        <x:v>Critical</x:v>
      </x:c>
      <x:c r="M65" s="34" t="str">
        <x:f>IF(L65="Healthy","Maintain engagement and assess growth opportunities",IF(L65="Watch","Investigate declining signals and address friction early",IF(L65="At Risk","Create an account recovery plan and increase engagement","Escalate, align stakeholders, and begin immediate intervention")))</x:f>
        <x:v>Escalate, align stakeholders, and begin immediate intervention</x:v>
      </x:c>
    </x:row>
    <x:row r="66">
      <x:c r="A66" s="34"/>
      <x:c r="B66" s="35"/>
      <x:c r="C66" s="36"/>
      <x:c r="D66" s="37"/>
      <x:c r="E66" s="37"/>
      <x:c r="F66" s="37"/>
      <x:c r="G66" s="37"/>
      <x:c r="H66" s="37"/>
      <x:c r="I66" s="37" t="n">
        <x:f>D66*0.30+E66*0.20+F66*0.20+G66*0.15+H66*0.15</x:f>
        <x:v>0</x:v>
      </x:c>
      <x:c r="J66" s="37"/>
      <x:c r="K66" s="38" t="n">
        <x:f>I66-J66</x:f>
        <x:v>0</x:v>
      </x:c>
      <x:c r="L66" s="34" t="str">
        <x:f>IF(I66&gt;=80,"Healthy",IF(I66&gt;=60,"Watch",IF(I66&gt;=40,"At Risk","Critical")))</x:f>
        <x:v>Critical</x:v>
      </x:c>
      <x:c r="M66" s="34" t="str">
        <x:f>IF(L66="Healthy","Maintain engagement and assess growth opportunities",IF(L66="Watch","Investigate declining signals and address friction early",IF(L66="At Risk","Create an account recovery plan and increase engagement","Escalate, align stakeholders, and begin immediate intervention")))</x:f>
        <x:v>Escalate, align stakeholders, and begin immediate intervention</x:v>
      </x:c>
    </x:row>
    <x:row r="67">
      <x:c r="A67" s="34"/>
      <x:c r="B67" s="35"/>
      <x:c r="C67" s="36"/>
      <x:c r="D67" s="37"/>
      <x:c r="E67" s="37"/>
      <x:c r="F67" s="37"/>
      <x:c r="G67" s="37"/>
      <x:c r="H67" s="37"/>
      <x:c r="I67" s="37" t="n">
        <x:f>D67*0.30+E67*0.20+F67*0.20+G67*0.15+H67*0.15</x:f>
        <x:v>0</x:v>
      </x:c>
      <x:c r="J67" s="37"/>
      <x:c r="K67" s="38" t="n">
        <x:f>I67-J67</x:f>
        <x:v>0</x:v>
      </x:c>
      <x:c r="L67" s="34" t="str">
        <x:f>IF(I67&gt;=80,"Healthy",IF(I67&gt;=60,"Watch",IF(I67&gt;=40,"At Risk","Critical")))</x:f>
        <x:v>Critical</x:v>
      </x:c>
      <x:c r="M67" s="34" t="str">
        <x:f>IF(L67="Healthy","Maintain engagement and assess growth opportunities",IF(L67="Watch","Investigate declining signals and address friction early",IF(L67="At Risk","Create an account recovery plan and increase engagement","Escalate, align stakeholders, and begin immediate intervention")))</x:f>
        <x:v>Escalate, align stakeholders, and begin immediate intervention</x:v>
      </x:c>
    </x:row>
    <x:row r="68">
      <x:c r="A68" s="34"/>
      <x:c r="B68" s="35"/>
      <x:c r="C68" s="36"/>
      <x:c r="D68" s="37"/>
      <x:c r="E68" s="37"/>
      <x:c r="F68" s="37"/>
      <x:c r="G68" s="37"/>
      <x:c r="H68" s="37"/>
      <x:c r="I68" s="37" t="n">
        <x:f>D68*0.30+E68*0.20+F68*0.20+G68*0.15+H68*0.15</x:f>
        <x:v>0</x:v>
      </x:c>
      <x:c r="J68" s="37"/>
      <x:c r="K68" s="38" t="n">
        <x:f>I68-J68</x:f>
        <x:v>0</x:v>
      </x:c>
      <x:c r="L68" s="34" t="str">
        <x:f>IF(I68&gt;=80,"Healthy",IF(I68&gt;=60,"Watch",IF(I68&gt;=40,"At Risk","Critical")))</x:f>
        <x:v>Critical</x:v>
      </x:c>
      <x:c r="M68" s="34" t="str">
        <x:f>IF(L68="Healthy","Maintain engagement and assess growth opportunities",IF(L68="Watch","Investigate declining signals and address friction early",IF(L68="At Risk","Create an account recovery plan and increase engagement","Escalate, align stakeholders, and begin immediate intervention")))</x:f>
        <x:v>Escalate, align stakeholders, and begin immediate intervention</x:v>
      </x:c>
    </x:row>
    <x:row r="69">
      <x:c r="A69" s="34"/>
      <x:c r="B69" s="35"/>
      <x:c r="C69" s="36"/>
      <x:c r="D69" s="37"/>
      <x:c r="E69" s="37"/>
      <x:c r="F69" s="37"/>
      <x:c r="G69" s="37"/>
      <x:c r="H69" s="37"/>
      <x:c r="I69" s="37" t="n">
        <x:f>D69*0.30+E69*0.20+F69*0.20+G69*0.15+H69*0.15</x:f>
        <x:v>0</x:v>
      </x:c>
      <x:c r="J69" s="37"/>
      <x:c r="K69" s="38" t="n">
        <x:f>I69-J69</x:f>
        <x:v>0</x:v>
      </x:c>
      <x:c r="L69" s="34" t="str">
        <x:f>IF(I69&gt;=80,"Healthy",IF(I69&gt;=60,"Watch",IF(I69&gt;=40,"At Risk","Critical")))</x:f>
        <x:v>Critical</x:v>
      </x:c>
      <x:c r="M69" s="34" t="str">
        <x:f>IF(L69="Healthy","Maintain engagement and assess growth opportunities",IF(L69="Watch","Investigate declining signals and address friction early",IF(L69="At Risk","Create an account recovery plan and increase engagement","Escalate, align stakeholders, and begin immediate intervention")))</x:f>
        <x:v>Escalate, align stakeholders, and begin immediate intervention</x:v>
      </x:c>
    </x:row>
    <x:row r="70">
      <x:c r="A70" s="34"/>
      <x:c r="B70" s="35"/>
      <x:c r="C70" s="36"/>
      <x:c r="D70" s="37"/>
      <x:c r="E70" s="37"/>
      <x:c r="F70" s="37"/>
      <x:c r="G70" s="37"/>
      <x:c r="H70" s="37"/>
      <x:c r="I70" s="37" t="n">
        <x:f>D70*0.30+E70*0.20+F70*0.20+G70*0.15+H70*0.15</x:f>
        <x:v>0</x:v>
      </x:c>
      <x:c r="J70" s="37"/>
      <x:c r="K70" s="38" t="n">
        <x:f>I70-J70</x:f>
        <x:v>0</x:v>
      </x:c>
      <x:c r="L70" s="34" t="str">
        <x:f>IF(I70&gt;=80,"Healthy",IF(I70&gt;=60,"Watch",IF(I70&gt;=40,"At Risk","Critical")))</x:f>
        <x:v>Critical</x:v>
      </x:c>
      <x:c r="M70" s="34" t="str">
        <x:f>IF(L70="Healthy","Maintain engagement and assess growth opportunities",IF(L70="Watch","Investigate declining signals and address friction early",IF(L70="At Risk","Create an account recovery plan and increase engagement","Escalate, align stakeholders, and begin immediate intervention")))</x:f>
        <x:v>Escalate, align stakeholders, and begin immediate intervention</x:v>
      </x:c>
    </x:row>
    <x:row r="71">
      <x:c r="A71" s="34"/>
      <x:c r="B71" s="35"/>
      <x:c r="C71" s="36"/>
      <x:c r="D71" s="37"/>
      <x:c r="E71" s="37"/>
      <x:c r="F71" s="37"/>
      <x:c r="G71" s="37"/>
      <x:c r="H71" s="37"/>
      <x:c r="I71" s="37" t="n">
        <x:f>D71*0.30+E71*0.20+F71*0.20+G71*0.15+H71*0.15</x:f>
        <x:v>0</x:v>
      </x:c>
      <x:c r="J71" s="37"/>
      <x:c r="K71" s="38" t="n">
        <x:f>I71-J71</x:f>
        <x:v>0</x:v>
      </x:c>
      <x:c r="L71" s="34" t="str">
        <x:f>IF(I71&gt;=80,"Healthy",IF(I71&gt;=60,"Watch",IF(I71&gt;=40,"At Risk","Critical")))</x:f>
        <x:v>Critical</x:v>
      </x:c>
      <x:c r="M71" s="34" t="str">
        <x:f>IF(L71="Healthy","Maintain engagement and assess growth opportunities",IF(L71="Watch","Investigate declining signals and address friction early",IF(L71="At Risk","Create an account recovery plan and increase engagement","Escalate, align stakeholders, and begin immediate intervention")))</x:f>
        <x:v>Escalate, align stakeholders, and begin immediate intervention</x:v>
      </x:c>
    </x:row>
    <x:row r="72">
      <x:c r="A72" s="34"/>
      <x:c r="B72" s="35"/>
      <x:c r="C72" s="36"/>
      <x:c r="D72" s="37"/>
      <x:c r="E72" s="37"/>
      <x:c r="F72" s="37"/>
      <x:c r="G72" s="37"/>
      <x:c r="H72" s="37"/>
      <x:c r="I72" s="37" t="n">
        <x:f>D72*0.30+E72*0.20+F72*0.20+G72*0.15+H72*0.15</x:f>
        <x:v>0</x:v>
      </x:c>
      <x:c r="J72" s="37"/>
      <x:c r="K72" s="38" t="n">
        <x:f>I72-J72</x:f>
        <x:v>0</x:v>
      </x:c>
      <x:c r="L72" s="34" t="str">
        <x:f>IF(I72&gt;=80,"Healthy",IF(I72&gt;=60,"Watch",IF(I72&gt;=40,"At Risk","Critical")))</x:f>
        <x:v>Critical</x:v>
      </x:c>
      <x:c r="M72" s="34" t="str">
        <x:f>IF(L72="Healthy","Maintain engagement and assess growth opportunities",IF(L72="Watch","Investigate declining signals and address friction early",IF(L72="At Risk","Create an account recovery plan and increase engagement","Escalate, align stakeholders, and begin immediate intervention")))</x:f>
        <x:v>Escalate, align stakeholders, and begin immediate intervention</x:v>
      </x:c>
    </x:row>
    <x:row r="73">
      <x:c r="A73" s="34"/>
      <x:c r="B73" s="35"/>
      <x:c r="C73" s="36"/>
      <x:c r="D73" s="37"/>
      <x:c r="E73" s="37"/>
      <x:c r="F73" s="37"/>
      <x:c r="G73" s="37"/>
      <x:c r="H73" s="37"/>
      <x:c r="I73" s="37" t="n">
        <x:f>D73*0.30+E73*0.20+F73*0.20+G73*0.15+H73*0.15</x:f>
        <x:v>0</x:v>
      </x:c>
      <x:c r="J73" s="37"/>
      <x:c r="K73" s="38" t="n">
        <x:f>I73-J73</x:f>
        <x:v>0</x:v>
      </x:c>
      <x:c r="L73" s="34" t="str">
        <x:f>IF(I73&gt;=80,"Healthy",IF(I73&gt;=60,"Watch",IF(I73&gt;=40,"At Risk","Critical")))</x:f>
        <x:v>Critical</x:v>
      </x:c>
      <x:c r="M73" s="34" t="str">
        <x:f>IF(L73="Healthy","Maintain engagement and assess growth opportunities",IF(L73="Watch","Investigate declining signals and address friction early",IF(L73="At Risk","Create an account recovery plan and increase engagement","Escalate, align stakeholders, and begin immediate intervention")))</x:f>
        <x:v>Escalate, align stakeholders, and begin immediate intervention</x:v>
      </x:c>
    </x:row>
    <x:row r="74">
      <x:c r="A74" s="34"/>
      <x:c r="B74" s="35"/>
      <x:c r="C74" s="36"/>
      <x:c r="D74" s="37"/>
      <x:c r="E74" s="37"/>
      <x:c r="F74" s="37"/>
      <x:c r="G74" s="37"/>
      <x:c r="H74" s="37"/>
      <x:c r="I74" s="37" t="n">
        <x:f>D74*0.30+E74*0.20+F74*0.20+G74*0.15+H74*0.15</x:f>
        <x:v>0</x:v>
      </x:c>
      <x:c r="J74" s="37"/>
      <x:c r="K74" s="38" t="n">
        <x:f>I74-J74</x:f>
        <x:v>0</x:v>
      </x:c>
      <x:c r="L74" s="34" t="str">
        <x:f>IF(I74&gt;=80,"Healthy",IF(I74&gt;=60,"Watch",IF(I74&gt;=40,"At Risk","Critical")))</x:f>
        <x:v>Critical</x:v>
      </x:c>
      <x:c r="M74" s="34" t="str">
        <x:f>IF(L74="Healthy","Maintain engagement and assess growth opportunities",IF(L74="Watch","Investigate declining signals and address friction early",IF(L74="At Risk","Create an account recovery plan and increase engagement","Escalate, align stakeholders, and begin immediate intervention")))</x:f>
        <x:v>Escalate, align stakeholders, and begin immediate intervention</x:v>
      </x:c>
    </x:row>
    <x:row r="75">
      <x:c r="A75" s="34"/>
      <x:c r="B75" s="35"/>
      <x:c r="C75" s="36"/>
      <x:c r="D75" s="37"/>
      <x:c r="E75" s="37"/>
      <x:c r="F75" s="37"/>
      <x:c r="G75" s="37"/>
      <x:c r="H75" s="37"/>
      <x:c r="I75" s="37" t="n">
        <x:f>D75*0.30+E75*0.20+F75*0.20+G75*0.15+H75*0.15</x:f>
        <x:v>0</x:v>
      </x:c>
      <x:c r="J75" s="37"/>
      <x:c r="K75" s="38" t="n">
        <x:f>I75-J75</x:f>
        <x:v>0</x:v>
      </x:c>
      <x:c r="L75" s="34" t="str">
        <x:f>IF(I75&gt;=80,"Healthy",IF(I75&gt;=60,"Watch",IF(I75&gt;=40,"At Risk","Critical")))</x:f>
        <x:v>Critical</x:v>
      </x:c>
      <x:c r="M75" s="34" t="str">
        <x:f>IF(L75="Healthy","Maintain engagement and assess growth opportunities",IF(L75="Watch","Investigate declining signals and address friction early",IF(L75="At Risk","Create an account recovery plan and increase engagement","Escalate, align stakeholders, and begin immediate intervention")))</x:f>
        <x:v>Escalate, align stakeholders, and begin immediate intervention</x:v>
      </x:c>
    </x:row>
    <x:row r="76">
      <x:c r="A76" s="34"/>
      <x:c r="B76" s="35"/>
      <x:c r="C76" s="36"/>
      <x:c r="D76" s="37"/>
      <x:c r="E76" s="37"/>
      <x:c r="F76" s="37"/>
      <x:c r="G76" s="37"/>
      <x:c r="H76" s="37"/>
      <x:c r="I76" s="37" t="n">
        <x:f>D76*0.30+E76*0.20+F76*0.20+G76*0.15+H76*0.15</x:f>
        <x:v>0</x:v>
      </x:c>
      <x:c r="J76" s="37"/>
      <x:c r="K76" s="38" t="n">
        <x:f>I76-J76</x:f>
        <x:v>0</x:v>
      </x:c>
      <x:c r="L76" s="34" t="str">
        <x:f>IF(I76&gt;=80,"Healthy",IF(I76&gt;=60,"Watch",IF(I76&gt;=40,"At Risk","Critical")))</x:f>
        <x:v>Critical</x:v>
      </x:c>
      <x:c r="M76" s="34" t="str">
        <x:f>IF(L76="Healthy","Maintain engagement and assess growth opportunities",IF(L76="Watch","Investigate declining signals and address friction early",IF(L76="At Risk","Create an account recovery plan and increase engagement","Escalate, align stakeholders, and begin immediate intervention")))</x:f>
        <x:v>Escalate, align stakeholders, and begin immediate intervention</x:v>
      </x:c>
    </x:row>
    <x:row r="77">
      <x:c r="A77" s="34"/>
      <x:c r="B77" s="35"/>
      <x:c r="C77" s="36"/>
      <x:c r="D77" s="37"/>
      <x:c r="E77" s="37"/>
      <x:c r="F77" s="37"/>
      <x:c r="G77" s="37"/>
      <x:c r="H77" s="37"/>
      <x:c r="I77" s="37" t="n">
        <x:f>D77*0.30+E77*0.20+F77*0.20+G77*0.15+H77*0.15</x:f>
        <x:v>0</x:v>
      </x:c>
      <x:c r="J77" s="37"/>
      <x:c r="K77" s="38" t="n">
        <x:f>I77-J77</x:f>
        <x:v>0</x:v>
      </x:c>
      <x:c r="L77" s="34" t="str">
        <x:f>IF(I77&gt;=80,"Healthy",IF(I77&gt;=60,"Watch",IF(I77&gt;=40,"At Risk","Critical")))</x:f>
        <x:v>Critical</x:v>
      </x:c>
      <x:c r="M77" s="34" t="str">
        <x:f>IF(L77="Healthy","Maintain engagement and assess growth opportunities",IF(L77="Watch","Investigate declining signals and address friction early",IF(L77="At Risk","Create an account recovery plan and increase engagement","Escalate, align stakeholders, and begin immediate intervention")))</x:f>
        <x:v>Escalate, align stakeholders, and begin immediate intervention</x:v>
      </x:c>
    </x:row>
    <x:row r="78">
      <x:c r="A78" s="34"/>
      <x:c r="B78" s="35"/>
      <x:c r="C78" s="36"/>
      <x:c r="D78" s="37"/>
      <x:c r="E78" s="37"/>
      <x:c r="F78" s="37"/>
      <x:c r="G78" s="37"/>
      <x:c r="H78" s="37"/>
      <x:c r="I78" s="37" t="n">
        <x:f>D78*0.30+E78*0.20+F78*0.20+G78*0.15+H78*0.15</x:f>
        <x:v>0</x:v>
      </x:c>
      <x:c r="J78" s="37"/>
      <x:c r="K78" s="38" t="n">
        <x:f>I78-J78</x:f>
        <x:v>0</x:v>
      </x:c>
      <x:c r="L78" s="34" t="str">
        <x:f>IF(I78&gt;=80,"Healthy",IF(I78&gt;=60,"Watch",IF(I78&gt;=40,"At Risk","Critical")))</x:f>
        <x:v>Critical</x:v>
      </x:c>
      <x:c r="M78" s="34" t="str">
        <x:f>IF(L78="Healthy","Maintain engagement and assess growth opportunities",IF(L78="Watch","Investigate declining signals and address friction early",IF(L78="At Risk","Create an account recovery plan and increase engagement","Escalate, align stakeholders, and begin immediate intervention")))</x:f>
        <x:v>Escalate, align stakeholders, and begin immediate intervention</x:v>
      </x:c>
    </x:row>
    <x:row r="79">
      <x:c r="A79" s="34"/>
      <x:c r="B79" s="35"/>
      <x:c r="C79" s="36"/>
      <x:c r="D79" s="37"/>
      <x:c r="E79" s="37"/>
      <x:c r="F79" s="37"/>
      <x:c r="G79" s="37"/>
      <x:c r="H79" s="37"/>
      <x:c r="I79" s="37" t="n">
        <x:f>D79*0.30+E79*0.20+F79*0.20+G79*0.15+H79*0.15</x:f>
        <x:v>0</x:v>
      </x:c>
      <x:c r="J79" s="37"/>
      <x:c r="K79" s="38" t="n">
        <x:f>I79-J79</x:f>
        <x:v>0</x:v>
      </x:c>
      <x:c r="L79" s="34" t="str">
        <x:f>IF(I79&gt;=80,"Healthy",IF(I79&gt;=60,"Watch",IF(I79&gt;=40,"At Risk","Critical")))</x:f>
        <x:v>Critical</x:v>
      </x:c>
      <x:c r="M79" s="34" t="str">
        <x:f>IF(L79="Healthy","Maintain engagement and assess growth opportunities",IF(L79="Watch","Investigate declining signals and address friction early",IF(L79="At Risk","Create an account recovery plan and increase engagement","Escalate, align stakeholders, and begin immediate intervention")))</x:f>
        <x:v>Escalate, align stakeholders, and begin immediate intervention</x:v>
      </x:c>
    </x:row>
    <x:row r="80">
      <x:c r="A80" s="34"/>
      <x:c r="B80" s="35"/>
      <x:c r="C80" s="36"/>
      <x:c r="D80" s="37"/>
      <x:c r="E80" s="37"/>
      <x:c r="F80" s="37"/>
      <x:c r="G80" s="37"/>
      <x:c r="H80" s="37"/>
      <x:c r="I80" s="37" t="n">
        <x:f>D80*0.30+E80*0.20+F80*0.20+G80*0.15+H80*0.15</x:f>
        <x:v>0</x:v>
      </x:c>
      <x:c r="J80" s="37"/>
      <x:c r="K80" s="38" t="n">
        <x:f>I80-J80</x:f>
        <x:v>0</x:v>
      </x:c>
      <x:c r="L80" s="34" t="str">
        <x:f>IF(I80&gt;=80,"Healthy",IF(I80&gt;=60,"Watch",IF(I80&gt;=40,"At Risk","Critical")))</x:f>
        <x:v>Critical</x:v>
      </x:c>
      <x:c r="M80" s="34" t="str">
        <x:f>IF(L80="Healthy","Maintain engagement and assess growth opportunities",IF(L80="Watch","Investigate declining signals and address friction early",IF(L80="At Risk","Create an account recovery plan and increase engagement","Escalate, align stakeholders, and begin immediate intervention")))</x:f>
        <x:v>Escalate, align stakeholders, and begin immediate intervention</x:v>
      </x:c>
    </x:row>
    <x:row r="81">
      <x:c r="A81" s="34"/>
      <x:c r="B81" s="35"/>
      <x:c r="C81" s="36"/>
      <x:c r="D81" s="37"/>
      <x:c r="E81" s="37"/>
      <x:c r="F81" s="37"/>
      <x:c r="G81" s="37"/>
      <x:c r="H81" s="37"/>
      <x:c r="I81" s="37" t="n">
        <x:f>D81*0.30+E81*0.20+F81*0.20+G81*0.15+H81*0.15</x:f>
        <x:v>0</x:v>
      </x:c>
      <x:c r="J81" s="37"/>
      <x:c r="K81" s="38" t="n">
        <x:f>I81-J81</x:f>
        <x:v>0</x:v>
      </x:c>
      <x:c r="L81" s="34" t="str">
        <x:f>IF(I81&gt;=80,"Healthy",IF(I81&gt;=60,"Watch",IF(I81&gt;=40,"At Risk","Critical")))</x:f>
        <x:v>Critical</x:v>
      </x:c>
      <x:c r="M81" s="34" t="str">
        <x:f>IF(L81="Healthy","Maintain engagement and assess growth opportunities",IF(L81="Watch","Investigate declining signals and address friction early",IF(L81="At Risk","Create an account recovery plan and increase engagement","Escalate, align stakeholders, and begin immediate intervention")))</x:f>
        <x:v>Escalate, align stakeholders, and begin immediate intervention</x:v>
      </x:c>
    </x:row>
    <x:row r="82">
      <x:c r="A82" s="34"/>
      <x:c r="B82" s="35"/>
      <x:c r="C82" s="36"/>
      <x:c r="D82" s="37"/>
      <x:c r="E82" s="37"/>
      <x:c r="F82" s="37"/>
      <x:c r="G82" s="37"/>
      <x:c r="H82" s="37"/>
      <x:c r="I82" s="37" t="n">
        <x:f>D82*0.30+E82*0.20+F82*0.20+G82*0.15+H82*0.15</x:f>
        <x:v>0</x:v>
      </x:c>
      <x:c r="J82" s="37"/>
      <x:c r="K82" s="38" t="n">
        <x:f>I82-J82</x:f>
        <x:v>0</x:v>
      </x:c>
      <x:c r="L82" s="34" t="str">
        <x:f>IF(I82&gt;=80,"Healthy",IF(I82&gt;=60,"Watch",IF(I82&gt;=40,"At Risk","Critical")))</x:f>
        <x:v>Critical</x:v>
      </x:c>
      <x:c r="M82" s="34" t="str">
        <x:f>IF(L82="Healthy","Maintain engagement and assess growth opportunities",IF(L82="Watch","Investigate declining signals and address friction early",IF(L82="At Risk","Create an account recovery plan and increase engagement","Escalate, align stakeholders, and begin immediate intervention")))</x:f>
        <x:v>Escalate, align stakeholders, and begin immediate intervention</x:v>
      </x:c>
    </x:row>
    <x:row r="83">
      <x:c r="A83" s="34"/>
      <x:c r="B83" s="35"/>
      <x:c r="C83" s="36"/>
      <x:c r="D83" s="37"/>
      <x:c r="E83" s="37"/>
      <x:c r="F83" s="37"/>
      <x:c r="G83" s="37"/>
      <x:c r="H83" s="37"/>
      <x:c r="I83" s="37" t="n">
        <x:f>D83*0.30+E83*0.20+F83*0.20+G83*0.15+H83*0.15</x:f>
        <x:v>0</x:v>
      </x:c>
      <x:c r="J83" s="37"/>
      <x:c r="K83" s="38" t="n">
        <x:f>I83-J83</x:f>
        <x:v>0</x:v>
      </x:c>
      <x:c r="L83" s="34" t="str">
        <x:f>IF(I83&gt;=80,"Healthy",IF(I83&gt;=60,"Watch",IF(I83&gt;=40,"At Risk","Critical")))</x:f>
        <x:v>Critical</x:v>
      </x:c>
      <x:c r="M83" s="34" t="str">
        <x:f>IF(L83="Healthy","Maintain engagement and assess growth opportunities",IF(L83="Watch","Investigate declining signals and address friction early",IF(L83="At Risk","Create an account recovery plan and increase engagement","Escalate, align stakeholders, and begin immediate intervention")))</x:f>
        <x:v>Escalate, align stakeholders, and begin immediate intervention</x:v>
      </x:c>
    </x:row>
    <x:row r="84">
      <x:c r="A84" s="34"/>
      <x:c r="B84" s="35"/>
      <x:c r="C84" s="36"/>
      <x:c r="D84" s="37"/>
      <x:c r="E84" s="37"/>
      <x:c r="F84" s="37"/>
      <x:c r="G84" s="37"/>
      <x:c r="H84" s="37"/>
      <x:c r="I84" s="37" t="n">
        <x:f>D84*0.30+E84*0.20+F84*0.20+G84*0.15+H84*0.15</x:f>
        <x:v>0</x:v>
      </x:c>
      <x:c r="J84" s="37"/>
      <x:c r="K84" s="38" t="n">
        <x:f>I84-J84</x:f>
        <x:v>0</x:v>
      </x:c>
      <x:c r="L84" s="34" t="str">
        <x:f>IF(I84&gt;=80,"Healthy",IF(I84&gt;=60,"Watch",IF(I84&gt;=40,"At Risk","Critical")))</x:f>
        <x:v>Critical</x:v>
      </x:c>
      <x:c r="M84" s="34" t="str">
        <x:f>IF(L84="Healthy","Maintain engagement and assess growth opportunities",IF(L84="Watch","Investigate declining signals and address friction early",IF(L84="At Risk","Create an account recovery plan and increase engagement","Escalate, align stakeholders, and begin immediate intervention")))</x:f>
        <x:v>Escalate, align stakeholders, and begin immediate intervention</x:v>
      </x:c>
    </x:row>
    <x:row r="85">
      <x:c r="A85" s="34"/>
      <x:c r="B85" s="35"/>
      <x:c r="C85" s="36"/>
      <x:c r="D85" s="37"/>
      <x:c r="E85" s="37"/>
      <x:c r="F85" s="37"/>
      <x:c r="G85" s="37"/>
      <x:c r="H85" s="37"/>
      <x:c r="I85" s="37" t="n">
        <x:f>D85*0.30+E85*0.20+F85*0.20+G85*0.15+H85*0.15</x:f>
        <x:v>0</x:v>
      </x:c>
      <x:c r="J85" s="37"/>
      <x:c r="K85" s="38" t="n">
        <x:f>I85-J85</x:f>
        <x:v>0</x:v>
      </x:c>
      <x:c r="L85" s="34" t="str">
        <x:f>IF(I85&gt;=80,"Healthy",IF(I85&gt;=60,"Watch",IF(I85&gt;=40,"At Risk","Critical")))</x:f>
        <x:v>Critical</x:v>
      </x:c>
      <x:c r="M85" s="34" t="str">
        <x:f>IF(L85="Healthy","Maintain engagement and assess growth opportunities",IF(L85="Watch","Investigate declining signals and address friction early",IF(L85="At Risk","Create an account recovery plan and increase engagement","Escalate, align stakeholders, and begin immediate intervention")))</x:f>
        <x:v>Escalate, align stakeholders, and begin immediate intervention</x:v>
      </x:c>
    </x:row>
    <x:row r="86">
      <x:c r="A86" s="34"/>
      <x:c r="B86" s="35"/>
      <x:c r="C86" s="36"/>
      <x:c r="D86" s="37"/>
      <x:c r="E86" s="37"/>
      <x:c r="F86" s="37"/>
      <x:c r="G86" s="37"/>
      <x:c r="H86" s="37"/>
      <x:c r="I86" s="37" t="n">
        <x:f>D86*0.30+E86*0.20+F86*0.20+G86*0.15+H86*0.15</x:f>
        <x:v>0</x:v>
      </x:c>
      <x:c r="J86" s="37"/>
      <x:c r="K86" s="38" t="n">
        <x:f>I86-J86</x:f>
        <x:v>0</x:v>
      </x:c>
      <x:c r="L86" s="34" t="str">
        <x:f>IF(I86&gt;=80,"Healthy",IF(I86&gt;=60,"Watch",IF(I86&gt;=40,"At Risk","Critical")))</x:f>
        <x:v>Critical</x:v>
      </x:c>
      <x:c r="M86" s="34" t="str">
        <x:f>IF(L86="Healthy","Maintain engagement and assess growth opportunities",IF(L86="Watch","Investigate declining signals and address friction early",IF(L86="At Risk","Create an account recovery plan and increase engagement","Escalate, align stakeholders, and begin immediate intervention")))</x:f>
        <x:v>Escalate, align stakeholders, and begin immediate intervention</x:v>
      </x:c>
    </x:row>
    <x:row r="87">
      <x:c r="A87" s="34"/>
      <x:c r="B87" s="35"/>
      <x:c r="C87" s="36"/>
      <x:c r="D87" s="37"/>
      <x:c r="E87" s="37"/>
      <x:c r="F87" s="37"/>
      <x:c r="G87" s="37"/>
      <x:c r="H87" s="37"/>
      <x:c r="I87" s="37" t="n">
        <x:f>D87*0.30+E87*0.20+F87*0.20+G87*0.15+H87*0.15</x:f>
        <x:v>0</x:v>
      </x:c>
      <x:c r="J87" s="37"/>
      <x:c r="K87" s="38" t="n">
        <x:f>I87-J87</x:f>
        <x:v>0</x:v>
      </x:c>
      <x:c r="L87" s="34" t="str">
        <x:f>IF(I87&gt;=80,"Healthy",IF(I87&gt;=60,"Watch",IF(I87&gt;=40,"At Risk","Critical")))</x:f>
        <x:v>Critical</x:v>
      </x:c>
      <x:c r="M87" s="34" t="str">
        <x:f>IF(L87="Healthy","Maintain engagement and assess growth opportunities",IF(L87="Watch","Investigate declining signals and address friction early",IF(L87="At Risk","Create an account recovery plan and increase engagement","Escalate, align stakeholders, and begin immediate intervention")))</x:f>
        <x:v>Escalate, align stakeholders, and begin immediate intervention</x:v>
      </x:c>
    </x:row>
    <x:row r="88">
      <x:c r="A88" s="34"/>
      <x:c r="B88" s="35"/>
      <x:c r="C88" s="36"/>
      <x:c r="D88" s="37"/>
      <x:c r="E88" s="37"/>
      <x:c r="F88" s="37"/>
      <x:c r="G88" s="37"/>
      <x:c r="H88" s="37"/>
      <x:c r="I88" s="37" t="n">
        <x:f>D88*0.30+E88*0.20+F88*0.20+G88*0.15+H88*0.15</x:f>
        <x:v>0</x:v>
      </x:c>
      <x:c r="J88" s="37"/>
      <x:c r="K88" s="38" t="n">
        <x:f>I88-J88</x:f>
        <x:v>0</x:v>
      </x:c>
      <x:c r="L88" s="34" t="str">
        <x:f>IF(I88&gt;=80,"Healthy",IF(I88&gt;=60,"Watch",IF(I88&gt;=40,"At Risk","Critical")))</x:f>
        <x:v>Critical</x:v>
      </x:c>
      <x:c r="M88" s="34" t="str">
        <x:f>IF(L88="Healthy","Maintain engagement and assess growth opportunities",IF(L88="Watch","Investigate declining signals and address friction early",IF(L88="At Risk","Create an account recovery plan and increase engagement","Escalate, align stakeholders, and begin immediate intervention")))</x:f>
        <x:v>Escalate, align stakeholders, and begin immediate intervention</x:v>
      </x:c>
    </x:row>
    <x:row r="89">
      <x:c r="A89" s="34"/>
      <x:c r="B89" s="35"/>
      <x:c r="C89" s="36"/>
      <x:c r="D89" s="37"/>
      <x:c r="E89" s="37"/>
      <x:c r="F89" s="37"/>
      <x:c r="G89" s="37"/>
      <x:c r="H89" s="37"/>
      <x:c r="I89" s="37" t="n">
        <x:f>D89*0.30+E89*0.20+F89*0.20+G89*0.15+H89*0.15</x:f>
        <x:v>0</x:v>
      </x:c>
      <x:c r="J89" s="37"/>
      <x:c r="K89" s="38" t="n">
        <x:f>I89-J89</x:f>
        <x:v>0</x:v>
      </x:c>
      <x:c r="L89" s="34" t="str">
        <x:f>IF(I89&gt;=80,"Healthy",IF(I89&gt;=60,"Watch",IF(I89&gt;=40,"At Risk","Critical")))</x:f>
        <x:v>Critical</x:v>
      </x:c>
      <x:c r="M89" s="34" t="str">
        <x:f>IF(L89="Healthy","Maintain engagement and assess growth opportunities",IF(L89="Watch","Investigate declining signals and address friction early",IF(L89="At Risk","Create an account recovery plan and increase engagement","Escalate, align stakeholders, and begin immediate intervention")))</x:f>
        <x:v>Escalate, align stakeholders, and begin immediate intervention</x:v>
      </x:c>
    </x:row>
    <x:row r="90">
      <x:c r="A90" s="34"/>
      <x:c r="B90" s="35"/>
      <x:c r="C90" s="36"/>
      <x:c r="D90" s="37"/>
      <x:c r="E90" s="37"/>
      <x:c r="F90" s="37"/>
      <x:c r="G90" s="37"/>
      <x:c r="H90" s="37"/>
      <x:c r="I90" s="37" t="n">
        <x:f>D90*0.30+E90*0.20+F90*0.20+G90*0.15+H90*0.15</x:f>
        <x:v>0</x:v>
      </x:c>
      <x:c r="J90" s="37"/>
      <x:c r="K90" s="38" t="n">
        <x:f>I90-J90</x:f>
        <x:v>0</x:v>
      </x:c>
      <x:c r="L90" s="34" t="str">
        <x:f>IF(I90&gt;=80,"Healthy",IF(I90&gt;=60,"Watch",IF(I90&gt;=40,"At Risk","Critical")))</x:f>
        <x:v>Critical</x:v>
      </x:c>
      <x:c r="M90" s="34" t="str">
        <x:f>IF(L90="Healthy","Maintain engagement and assess growth opportunities",IF(L90="Watch","Investigate declining signals and address friction early",IF(L90="At Risk","Create an account recovery plan and increase engagement","Escalate, align stakeholders, and begin immediate intervention")))</x:f>
        <x:v>Escalate, align stakeholders, and begin immediate intervention</x:v>
      </x:c>
    </x:row>
    <x:row r="91">
      <x:c r="A91" s="34"/>
      <x:c r="B91" s="35"/>
      <x:c r="C91" s="36"/>
      <x:c r="D91" s="37"/>
      <x:c r="E91" s="37"/>
      <x:c r="F91" s="37"/>
      <x:c r="G91" s="37"/>
      <x:c r="H91" s="37"/>
      <x:c r="I91" s="37" t="n">
        <x:f>D91*0.30+E91*0.20+F91*0.20+G91*0.15+H91*0.15</x:f>
        <x:v>0</x:v>
      </x:c>
      <x:c r="J91" s="37"/>
      <x:c r="K91" s="38" t="n">
        <x:f>I91-J91</x:f>
        <x:v>0</x:v>
      </x:c>
      <x:c r="L91" s="34" t="str">
        <x:f>IF(I91&gt;=80,"Healthy",IF(I91&gt;=60,"Watch",IF(I91&gt;=40,"At Risk","Critical")))</x:f>
        <x:v>Critical</x:v>
      </x:c>
      <x:c r="M91" s="34" t="str">
        <x:f>IF(L91="Healthy","Maintain engagement and assess growth opportunities",IF(L91="Watch","Investigate declining signals and address friction early",IF(L91="At Risk","Create an account recovery plan and increase engagement","Escalate, align stakeholders, and begin immediate intervention")))</x:f>
        <x:v>Escalate, align stakeholders, and begin immediate intervention</x:v>
      </x:c>
    </x:row>
    <x:row r="92">
      <x:c r="A92" s="34"/>
      <x:c r="B92" s="35"/>
      <x:c r="C92" s="36"/>
      <x:c r="D92" s="37"/>
      <x:c r="E92" s="37"/>
      <x:c r="F92" s="37"/>
      <x:c r="G92" s="37"/>
      <x:c r="H92" s="37"/>
      <x:c r="I92" s="37" t="n">
        <x:f>D92*0.30+E92*0.20+F92*0.20+G92*0.15+H92*0.15</x:f>
        <x:v>0</x:v>
      </x:c>
      <x:c r="J92" s="37"/>
      <x:c r="K92" s="38" t="n">
        <x:f>I92-J92</x:f>
        <x:v>0</x:v>
      </x:c>
      <x:c r="L92" s="34" t="str">
        <x:f>IF(I92&gt;=80,"Healthy",IF(I92&gt;=60,"Watch",IF(I92&gt;=40,"At Risk","Critical")))</x:f>
        <x:v>Critical</x:v>
      </x:c>
      <x:c r="M92" s="34" t="str">
        <x:f>IF(L92="Healthy","Maintain engagement and assess growth opportunities",IF(L92="Watch","Investigate declining signals and address friction early",IF(L92="At Risk","Create an account recovery plan and increase engagement","Escalate, align stakeholders, and begin immediate intervention")))</x:f>
        <x:v>Escalate, align stakeholders, and begin immediate intervention</x:v>
      </x:c>
    </x:row>
    <x:row r="93">
      <x:c r="A93" s="34"/>
      <x:c r="B93" s="35"/>
      <x:c r="C93" s="36"/>
      <x:c r="D93" s="37"/>
      <x:c r="E93" s="37"/>
      <x:c r="F93" s="37"/>
      <x:c r="G93" s="37"/>
      <x:c r="H93" s="37"/>
      <x:c r="I93" s="37" t="n">
        <x:f>D93*0.30+E93*0.20+F93*0.20+G93*0.15+H93*0.15</x:f>
        <x:v>0</x:v>
      </x:c>
      <x:c r="J93" s="37"/>
      <x:c r="K93" s="38" t="n">
        <x:f>I93-J93</x:f>
        <x:v>0</x:v>
      </x:c>
      <x:c r="L93" s="34" t="str">
        <x:f>IF(I93&gt;=80,"Healthy",IF(I93&gt;=60,"Watch",IF(I93&gt;=40,"At Risk","Critical")))</x:f>
        <x:v>Critical</x:v>
      </x:c>
      <x:c r="M93" s="34" t="str">
        <x:f>IF(L93="Healthy","Maintain engagement and assess growth opportunities",IF(L93="Watch","Investigate declining signals and address friction early",IF(L93="At Risk","Create an account recovery plan and increase engagement","Escalate, align stakeholders, and begin immediate intervention")))</x:f>
        <x:v>Escalate, align stakeholders, and begin immediate intervention</x:v>
      </x:c>
    </x:row>
    <x:row r="94">
      <x:c r="A94" s="34"/>
      <x:c r="B94" s="35"/>
      <x:c r="C94" s="36"/>
      <x:c r="D94" s="37"/>
      <x:c r="E94" s="37"/>
      <x:c r="F94" s="37"/>
      <x:c r="G94" s="37"/>
      <x:c r="H94" s="37"/>
      <x:c r="I94" s="37" t="n">
        <x:f>D94*0.30+E94*0.20+F94*0.20+G94*0.15+H94*0.15</x:f>
        <x:v>0</x:v>
      </x:c>
      <x:c r="J94" s="37"/>
      <x:c r="K94" s="38" t="n">
        <x:f>I94-J94</x:f>
        <x:v>0</x:v>
      </x:c>
      <x:c r="L94" s="34" t="str">
        <x:f>IF(I94&gt;=80,"Healthy",IF(I94&gt;=60,"Watch",IF(I94&gt;=40,"At Risk","Critical")))</x:f>
        <x:v>Critical</x:v>
      </x:c>
      <x:c r="M94" s="34" t="str">
        <x:f>IF(L94="Healthy","Maintain engagement and assess growth opportunities",IF(L94="Watch","Investigate declining signals and address friction early",IF(L94="At Risk","Create an account recovery plan and increase engagement","Escalate, align stakeholders, and begin immediate intervention")))</x:f>
        <x:v>Escalate, align stakeholders, and begin immediate intervention</x:v>
      </x:c>
    </x:row>
    <x:row r="95">
      <x:c r="A95" s="34"/>
      <x:c r="B95" s="35"/>
      <x:c r="C95" s="36"/>
      <x:c r="D95" s="37"/>
      <x:c r="E95" s="37"/>
      <x:c r="F95" s="37"/>
      <x:c r="G95" s="37"/>
      <x:c r="H95" s="37"/>
      <x:c r="I95" s="37" t="n">
        <x:f>D95*0.30+E95*0.20+F95*0.20+G95*0.15+H95*0.15</x:f>
        <x:v>0</x:v>
      </x:c>
      <x:c r="J95" s="37"/>
      <x:c r="K95" s="38" t="n">
        <x:f>I95-J95</x:f>
        <x:v>0</x:v>
      </x:c>
      <x:c r="L95" s="34" t="str">
        <x:f>IF(I95&gt;=80,"Healthy",IF(I95&gt;=60,"Watch",IF(I95&gt;=40,"At Risk","Critical")))</x:f>
        <x:v>Critical</x:v>
      </x:c>
      <x:c r="M95" s="34" t="str">
        <x:f>IF(L95="Healthy","Maintain engagement and assess growth opportunities",IF(L95="Watch","Investigate declining signals and address friction early",IF(L95="At Risk","Create an account recovery plan and increase engagement","Escalate, align stakeholders, and begin immediate intervention")))</x:f>
        <x:v>Escalate, align stakeholders, and begin immediate intervention</x:v>
      </x:c>
    </x:row>
    <x:row r="96">
      <x:c r="A96" s="34"/>
      <x:c r="B96" s="35"/>
      <x:c r="C96" s="36"/>
      <x:c r="D96" s="37"/>
      <x:c r="E96" s="37"/>
      <x:c r="F96" s="37"/>
      <x:c r="G96" s="37"/>
      <x:c r="H96" s="37"/>
      <x:c r="I96" s="37" t="n">
        <x:f>D96*0.30+E96*0.20+F96*0.20+G96*0.15+H96*0.15</x:f>
        <x:v>0</x:v>
      </x:c>
      <x:c r="J96" s="37"/>
      <x:c r="K96" s="38" t="n">
        <x:f>I96-J96</x:f>
        <x:v>0</x:v>
      </x:c>
      <x:c r="L96" s="34" t="str">
        <x:f>IF(I96&gt;=80,"Healthy",IF(I96&gt;=60,"Watch",IF(I96&gt;=40,"At Risk","Critical")))</x:f>
        <x:v>Critical</x:v>
      </x:c>
      <x:c r="M96" s="34" t="str">
        <x:f>IF(L96="Healthy","Maintain engagement and assess growth opportunities",IF(L96="Watch","Investigate declining signals and address friction early",IF(L96="At Risk","Create an account recovery plan and increase engagement","Escalate, align stakeholders, and begin immediate intervention")))</x:f>
        <x:v>Escalate, align stakeholders, and begin immediate intervention</x:v>
      </x:c>
    </x:row>
    <x:row r="97">
      <x:c r="A97" s="34"/>
      <x:c r="B97" s="35"/>
      <x:c r="C97" s="36"/>
      <x:c r="D97" s="37"/>
      <x:c r="E97" s="37"/>
      <x:c r="F97" s="37"/>
      <x:c r="G97" s="37"/>
      <x:c r="H97" s="37"/>
      <x:c r="I97" s="37" t="n">
        <x:f>D97*0.30+E97*0.20+F97*0.20+G97*0.15+H97*0.15</x:f>
        <x:v>0</x:v>
      </x:c>
      <x:c r="J97" s="37"/>
      <x:c r="K97" s="38" t="n">
        <x:f>I97-J97</x:f>
        <x:v>0</x:v>
      </x:c>
      <x:c r="L97" s="34" t="str">
        <x:f>IF(I97&gt;=80,"Healthy",IF(I97&gt;=60,"Watch",IF(I97&gt;=40,"At Risk","Critical")))</x:f>
        <x:v>Critical</x:v>
      </x:c>
      <x:c r="M97" s="34" t="str">
        <x:f>IF(L97="Healthy","Maintain engagement and assess growth opportunities",IF(L97="Watch","Investigate declining signals and address friction early",IF(L97="At Risk","Create an account recovery plan and increase engagement","Escalate, align stakeholders, and begin immediate intervention")))</x:f>
        <x:v>Escalate, align stakeholders, and begin immediate intervention</x:v>
      </x:c>
    </x:row>
    <x:row r="98">
      <x:c r="A98" s="34"/>
      <x:c r="B98" s="35"/>
      <x:c r="C98" s="36"/>
      <x:c r="D98" s="37"/>
      <x:c r="E98" s="37"/>
      <x:c r="F98" s="37"/>
      <x:c r="G98" s="37"/>
      <x:c r="H98" s="37"/>
      <x:c r="I98" s="37" t="n">
        <x:f>D98*0.30+E98*0.20+F98*0.20+G98*0.15+H98*0.15</x:f>
        <x:v>0</x:v>
      </x:c>
      <x:c r="J98" s="37"/>
      <x:c r="K98" s="38" t="n">
        <x:f>I98-J98</x:f>
        <x:v>0</x:v>
      </x:c>
      <x:c r="L98" s="34" t="str">
        <x:f>IF(I98&gt;=80,"Healthy",IF(I98&gt;=60,"Watch",IF(I98&gt;=40,"At Risk","Critical")))</x:f>
        <x:v>Critical</x:v>
      </x:c>
      <x:c r="M98" s="34" t="str">
        <x:f>IF(L98="Healthy","Maintain engagement and assess growth opportunities",IF(L98="Watch","Investigate declining signals and address friction early",IF(L98="At Risk","Create an account recovery plan and increase engagement","Escalate, align stakeholders, and begin immediate intervention")))</x:f>
        <x:v>Escalate, align stakeholders, and begin immediate intervention</x:v>
      </x:c>
    </x:row>
    <x:row r="99">
      <x:c r="A99" s="34"/>
      <x:c r="B99" s="35"/>
      <x:c r="C99" s="36"/>
      <x:c r="D99" s="37"/>
      <x:c r="E99" s="37"/>
      <x:c r="F99" s="37"/>
      <x:c r="G99" s="37"/>
      <x:c r="H99" s="37"/>
      <x:c r="I99" s="37" t="n">
        <x:f>D99*0.30+E99*0.20+F99*0.20+G99*0.15+H99*0.15</x:f>
        <x:v>0</x:v>
      </x:c>
      <x:c r="J99" s="37"/>
      <x:c r="K99" s="38" t="n">
        <x:f>I99-J99</x:f>
        <x:v>0</x:v>
      </x:c>
      <x:c r="L99" s="34" t="str">
        <x:f>IF(I99&gt;=80,"Healthy",IF(I99&gt;=60,"Watch",IF(I99&gt;=40,"At Risk","Critical")))</x:f>
        <x:v>Critical</x:v>
      </x:c>
      <x:c r="M99" s="34" t="str">
        <x:f>IF(L99="Healthy","Maintain engagement and assess growth opportunities",IF(L99="Watch","Investigate declining signals and address friction early",IF(L99="At Risk","Create an account recovery plan and increase engagement","Escalate, align stakeholders, and begin immediate intervention")))</x:f>
        <x:v>Escalate, align stakeholders, and begin immediate intervention</x:v>
      </x:c>
    </x:row>
    <x:row r="100">
      <x:c r="A100" s="34"/>
      <x:c r="B100" s="35"/>
      <x:c r="C100" s="36"/>
      <x:c r="D100" s="37"/>
      <x:c r="E100" s="37"/>
      <x:c r="F100" s="37"/>
      <x:c r="G100" s="37"/>
      <x:c r="H100" s="37"/>
      <x:c r="I100" s="37" t="n">
        <x:f>D100*0.30+E100*0.20+F100*0.20+G100*0.15+H100*0.15</x:f>
        <x:v>0</x:v>
      </x:c>
      <x:c r="J100" s="37"/>
      <x:c r="K100" s="38" t="n">
        <x:f>I100-J100</x:f>
        <x:v>0</x:v>
      </x:c>
      <x:c r="L100" s="34" t="str">
        <x:f>IF(I100&gt;=80,"Healthy",IF(I100&gt;=60,"Watch",IF(I100&gt;=40,"At Risk","Critical")))</x:f>
        <x:v>Critical</x:v>
      </x:c>
      <x:c r="M100" s="34" t="str">
        <x:f>IF(L100="Healthy","Maintain engagement and assess growth opportunities",IF(L100="Watch","Investigate declining signals and address friction early",IF(L100="At Risk","Create an account recovery plan and increase engagement","Escalate, align stakeholders, and begin immediate intervention")))</x:f>
        <x:v>Escalate, align stakeholders, and begin immediate intervention</x:v>
      </x:c>
    </x:row>
  </x:sheetData>
  <x:mergeCells>
    <x:mergeCell ref="A1:M1"/>
    <x:mergeCell ref="A2:M2"/>
  </x:mergeCells>
  <x:conditionalFormatting sqref="I5:I100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K5:K100">
    <x:cfRule type="cellIs" dxfId="0" priority="2" operator="lessThan">
      <x:formula>0</x:formula>
    </x:cfRule>
  </x:conditionalFormatting>
  <x:conditionalFormatting sqref="L5:L100">
    <x:cfRule type="expression" dxfId="1" priority="3">
      <x:formula>L5="Healthy"</x:formula>
    </x:cfRule>
    <x:cfRule type="expression" dxfId="2" priority="4">
      <x:formula>L5="Watch"</x:formula>
    </x:cfRule>
    <x:cfRule type="expression" dxfId="3" priority="5">
      <x:formula>L5="At Risk"</x:formula>
    </x:cfRule>
    <x:cfRule type="expression" dxfId="4" priority="6">
      <x:formula>L5="Critical"</x:formula>
    </x:cfRule>
  </x:conditionalFormatting>
  <x:dataValidations count="6">
    <x:dataValidation operator="between" sqref="D5:D100">
      <x:formula1>0</x:formula1>
      <x:formula2>100</x:formula2>
    </x:dataValidation>
    <x:dataValidation operator="between" sqref="E5:E100">
      <x:formula1>0</x:formula1>
      <x:formula2>100</x:formula2>
    </x:dataValidation>
    <x:dataValidation operator="between" sqref="F5:F100">
      <x:formula1>0</x:formula1>
      <x:formula2>100</x:formula2>
    </x:dataValidation>
    <x:dataValidation operator="between" sqref="G5:G100">
      <x:formula1>0</x:formula1>
      <x:formula2>100</x:formula2>
    </x:dataValidation>
    <x:dataValidation operator="between" sqref="H5:H100">
      <x:formula1>0</x:formula1>
      <x:formula2>100</x:formula2>
    </x:dataValidation>
    <x:dataValidation operator="between" sqref="J5:J10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46c7f466a2245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8" hidden="0" customWidth="1"/>
    <x:col min="4" max="4" width="12" hidden="0" customWidth="1"/>
    <x:col min="5" max="5" width="18" hidden="0" customWidth="1"/>
    <x:col min="6" max="6" width="38" hidden="0" customWidth="1"/>
    <x:col min="7" max="7" width="14" hidden="0" customWidth="1"/>
    <x:col min="8" max="8" width="14" hidden="0" customWidth="1"/>
  </x:cols>
  <x:sheetData>
    <x:row r="1">
      <x:c r="A1" s="4" t="str">
        <x:v>Risk Trigger Log</x:v>
      </x:c>
    </x:row>
    <x:row r="3">
      <x:c r="A3" s="19" t="str">
        <x:v>Account</x:v>
      </x:c>
      <x:c r="B3" s="19" t="str">
        <x:v>Trigger Date</x:v>
      </x:c>
      <x:c r="C3" s="19" t="str">
        <x:v>Risk Trigger</x:v>
      </x:c>
      <x:c r="D3" s="19" t="str">
        <x:v>Severity</x:v>
      </x:c>
      <x:c r="E3" s="19" t="str">
        <x:v>Owner</x:v>
      </x:c>
      <x:c r="F3" s="19" t="str">
        <x:v>Action Taken</x:v>
      </x:c>
      <x:c r="G3" s="19" t="str">
        <x:v>Follow-up Date</x:v>
      </x:c>
      <x:c r="H3" s="19" t="str">
        <x:v>Status</x:v>
      </x:c>
    </x:row>
    <x:row r="4">
      <x:c r="A4" s="34" t="str">
        <x:v>BrightPath Co.</x:v>
      </x:c>
      <x:c r="B4" s="36" t="str">
        <x:v>2026-09-10</x:v>
      </x:c>
      <x:c r="C4" s="34" t="str">
        <x:v>Usage declined significantly from baseline</x:v>
      </x:c>
      <x:c r="D4" s="34" t="str">
        <x:v>Medium</x:v>
      </x:c>
      <x:c r="E4" s="34" t="str">
        <x:v>CSM</x:v>
      </x:c>
      <x:c r="F4" s="34" t="str">
        <x:v>Scheduled adoption review</x:v>
      </x:c>
      <x:c r="G4" s="36" t="str">
        <x:v>2026-09-17</x:v>
      </x:c>
      <x:c r="H4" s="34" t="str">
        <x:v>Open</x:v>
      </x:c>
    </x:row>
    <x:row r="5">
      <x:c r="A5" s="34" t="str">
        <x:v>Apex Learning</x:v>
      </x:c>
      <x:c r="B5" s="36" t="str">
        <x:v>2026-09-08</x:v>
      </x:c>
      <x:c r="C5" s="34" t="str">
        <x:v>Key stakeholder unresponsive</x:v>
      </x:c>
      <x:c r="D5" s="34" t="str">
        <x:v>High</x:v>
      </x:c>
      <x:c r="E5" s="34" t="str">
        <x:v>CSM</x:v>
      </x:c>
      <x:c r="F5" s="34" t="str">
        <x:v>Escalated to executive sponsor</x:v>
      </x:c>
      <x:c r="G5" s="36" t="str">
        <x:v>2026-09-15</x:v>
      </x:c>
      <x:c r="H5" s="34" t="str">
        <x:v>Open</x:v>
      </x:c>
    </x:row>
    <x:row r="6">
      <x:c r="A6" s="34" t="str">
        <x:v>Horizon Health</x:v>
      </x:c>
      <x:c r="B6" s="36" t="str">
        <x:v>2026-09-07</x:v>
      </x:c>
      <x:c r="C6" s="34" t="str">
        <x:v>Repeated unresolved support issue</x:v>
      </x:c>
      <x:c r="D6" s="34" t="str">
        <x:v>Critical</x:v>
      </x:c>
      <x:c r="E6" s="34" t="str">
        <x:v>CSM + Support</x:v>
      </x:c>
      <x:c r="F6" s="34" t="str">
        <x:v>Opened cross-functional recovery plan</x:v>
      </x:c>
      <x:c r="G6" s="36" t="str">
        <x:v>2026-09-14</x:v>
      </x:c>
      <x:c r="H6" s="34" t="str">
        <x:v>Escalated</x:v>
      </x:c>
    </x:row>
    <x:row r="7">
      <x:c r="A7" s="34" t="str">
        <x:v>Northstar Labs</x:v>
      </x:c>
      <x:c r="B7" s="36" t="str">
        <x:v>2026-09-05</x:v>
      </x:c>
      <x:c r="C7" s="34" t="str">
        <x:v>Renewal approaching with strong adoption</x:v>
      </x:c>
      <x:c r="D7" s="34" t="str">
        <x:v>Low</x:v>
      </x:c>
      <x:c r="E7" s="34" t="str">
        <x:v>CSM</x:v>
      </x:c>
      <x:c r="F7" s="34" t="str">
        <x:v>Prepared expansion conversation</x:v>
      </x:c>
      <x:c r="G7" s="36" t="str">
        <x:v>2026-09-19</x:v>
      </x:c>
      <x:c r="H7" s="34" t="str">
        <x:v>Monitoring</x:v>
      </x:c>
    </x:row>
    <x:row r="8">
      <x:c r="A8" s="34" t="str">
        <x:v>Nova Community</x:v>
      </x:c>
      <x:c r="B8" s="36" t="str">
        <x:v>2026-09-04</x:v>
      </x:c>
      <x:c r="C8" s="34" t="str">
        <x:v>Champion changed role</x:v>
      </x:c>
      <x:c r="D8" s="34" t="str">
        <x:v>Medium</x:v>
      </x:c>
      <x:c r="E8" s="34" t="str">
        <x:v>CSM</x:v>
      </x:c>
      <x:c r="F8" s="34" t="str">
        <x:v>Mapped replacement stakeholder</x:v>
      </x:c>
      <x:c r="G8" s="36" t="str">
        <x:v>2026-09-18</x:v>
      </x:c>
      <x:c r="H8" s="34" t="str">
        <x:v>Monitoring</x:v>
      </x:c>
    </x:row>
    <x:row r="9">
      <x:c r="A9" s="34"/>
      <x:c r="B9" s="36"/>
      <x:c r="C9" s="34"/>
      <x:c r="D9" s="34"/>
      <x:c r="E9" s="34"/>
      <x:c r="F9" s="34"/>
      <x:c r="G9" s="36"/>
      <x:c r="H9" s="34"/>
    </x:row>
    <x:row r="10">
      <x:c r="A10" s="34"/>
      <x:c r="B10" s="36"/>
      <x:c r="C10" s="34"/>
      <x:c r="D10" s="34"/>
      <x:c r="E10" s="34"/>
      <x:c r="F10" s="34"/>
      <x:c r="G10" s="36"/>
      <x:c r="H10" s="34"/>
    </x:row>
    <x:row r="11">
      <x:c r="A11" s="34"/>
      <x:c r="B11" s="36"/>
      <x:c r="C11" s="34"/>
      <x:c r="D11" s="34"/>
      <x:c r="E11" s="34"/>
      <x:c r="F11" s="34"/>
      <x:c r="G11" s="36"/>
      <x:c r="H11" s="34"/>
    </x:row>
    <x:row r="12">
      <x:c r="A12" s="34"/>
      <x:c r="B12" s="36"/>
      <x:c r="C12" s="34"/>
      <x:c r="D12" s="34"/>
      <x:c r="E12" s="34"/>
      <x:c r="F12" s="34"/>
      <x:c r="G12" s="36"/>
      <x:c r="H12" s="34"/>
    </x:row>
    <x:row r="13">
      <x:c r="A13" s="34"/>
      <x:c r="B13" s="36"/>
      <x:c r="C13" s="34"/>
      <x:c r="D13" s="34"/>
      <x:c r="E13" s="34"/>
      <x:c r="F13" s="34"/>
      <x:c r="G13" s="36"/>
      <x:c r="H13" s="34"/>
    </x:row>
    <x:row r="14">
      <x:c r="A14" s="34"/>
      <x:c r="B14" s="36"/>
      <x:c r="C14" s="34"/>
      <x:c r="D14" s="34"/>
      <x:c r="E14" s="34"/>
      <x:c r="F14" s="34"/>
      <x:c r="G14" s="36"/>
      <x:c r="H14" s="34"/>
    </x:row>
    <x:row r="15">
      <x:c r="A15" s="34"/>
      <x:c r="B15" s="36"/>
      <x:c r="C15" s="34"/>
      <x:c r="D15" s="34"/>
      <x:c r="E15" s="34"/>
      <x:c r="F15" s="34"/>
      <x:c r="G15" s="36"/>
      <x:c r="H15" s="34"/>
    </x:row>
    <x:row r="16">
      <x:c r="A16" s="34"/>
      <x:c r="B16" s="36"/>
      <x:c r="C16" s="34"/>
      <x:c r="D16" s="34"/>
      <x:c r="E16" s="34"/>
      <x:c r="F16" s="34"/>
      <x:c r="G16" s="36"/>
      <x:c r="H16" s="34"/>
    </x:row>
    <x:row r="17">
      <x:c r="A17" s="34"/>
      <x:c r="B17" s="36"/>
      <x:c r="C17" s="34"/>
      <x:c r="D17" s="34"/>
      <x:c r="E17" s="34"/>
      <x:c r="F17" s="34"/>
      <x:c r="G17" s="36"/>
      <x:c r="H17" s="34"/>
    </x:row>
    <x:row r="18">
      <x:c r="A18" s="34"/>
      <x:c r="B18" s="36"/>
      <x:c r="C18" s="34"/>
      <x:c r="D18" s="34"/>
      <x:c r="E18" s="34"/>
      <x:c r="F18" s="34"/>
      <x:c r="G18" s="36"/>
      <x:c r="H18" s="34"/>
    </x:row>
    <x:row r="19">
      <x:c r="A19" s="34"/>
      <x:c r="B19" s="36"/>
      <x:c r="C19" s="34"/>
      <x:c r="D19" s="34"/>
      <x:c r="E19" s="34"/>
      <x:c r="F19" s="34"/>
      <x:c r="G19" s="36"/>
      <x:c r="H19" s="34"/>
    </x:row>
    <x:row r="20">
      <x:c r="A20" s="34"/>
      <x:c r="B20" s="36"/>
      <x:c r="C20" s="34"/>
      <x:c r="D20" s="34"/>
      <x:c r="E20" s="34"/>
      <x:c r="F20" s="34"/>
      <x:c r="G20" s="36"/>
      <x:c r="H20" s="34"/>
    </x:row>
    <x:row r="21">
      <x:c r="A21" s="34"/>
      <x:c r="B21" s="36"/>
      <x:c r="C21" s="34"/>
      <x:c r="D21" s="34"/>
      <x:c r="E21" s="34"/>
      <x:c r="F21" s="34"/>
      <x:c r="G21" s="36"/>
      <x:c r="H21" s="34"/>
    </x:row>
    <x:row r="22">
      <x:c r="A22" s="34"/>
      <x:c r="B22" s="36"/>
      <x:c r="C22" s="34"/>
      <x:c r="D22" s="34"/>
      <x:c r="E22" s="34"/>
      <x:c r="F22" s="34"/>
      <x:c r="G22" s="36"/>
      <x:c r="H22" s="34"/>
    </x:row>
    <x:row r="23">
      <x:c r="A23" s="34"/>
      <x:c r="B23" s="36"/>
      <x:c r="C23" s="34"/>
      <x:c r="D23" s="34"/>
      <x:c r="E23" s="34"/>
      <x:c r="F23" s="34"/>
      <x:c r="G23" s="36"/>
      <x:c r="H23" s="34"/>
    </x:row>
    <x:row r="24">
      <x:c r="A24" s="34"/>
      <x:c r="B24" s="36"/>
      <x:c r="C24" s="34"/>
      <x:c r="D24" s="34"/>
      <x:c r="E24" s="34"/>
      <x:c r="F24" s="34"/>
      <x:c r="G24" s="36"/>
      <x:c r="H24" s="34"/>
    </x:row>
    <x:row r="25">
      <x:c r="A25" s="34"/>
      <x:c r="B25" s="36"/>
      <x:c r="C25" s="34"/>
      <x:c r="D25" s="34"/>
      <x:c r="E25" s="34"/>
      <x:c r="F25" s="34"/>
      <x:c r="G25" s="36"/>
      <x:c r="H25" s="34"/>
    </x:row>
    <x:row r="26">
      <x:c r="A26" s="34"/>
      <x:c r="B26" s="36"/>
      <x:c r="C26" s="34"/>
      <x:c r="D26" s="34"/>
      <x:c r="E26" s="34"/>
      <x:c r="F26" s="34"/>
      <x:c r="G26" s="36"/>
      <x:c r="H26" s="34"/>
    </x:row>
    <x:row r="27">
      <x:c r="A27" s="34"/>
      <x:c r="B27" s="36"/>
      <x:c r="C27" s="34"/>
      <x:c r="D27" s="34"/>
      <x:c r="E27" s="34"/>
      <x:c r="F27" s="34"/>
      <x:c r="G27" s="36"/>
      <x:c r="H27" s="34"/>
    </x:row>
    <x:row r="28">
      <x:c r="A28" s="34"/>
      <x:c r="B28" s="36"/>
      <x:c r="C28" s="34"/>
      <x:c r="D28" s="34"/>
      <x:c r="E28" s="34"/>
      <x:c r="F28" s="34"/>
      <x:c r="G28" s="36"/>
      <x:c r="H28" s="34"/>
    </x:row>
    <x:row r="29">
      <x:c r="A29" s="34"/>
      <x:c r="B29" s="36"/>
      <x:c r="C29" s="34"/>
      <x:c r="D29" s="34"/>
      <x:c r="E29" s="34"/>
      <x:c r="F29" s="34"/>
      <x:c r="G29" s="36"/>
      <x:c r="H29" s="34"/>
    </x:row>
    <x:row r="30">
      <x:c r="A30" s="34"/>
      <x:c r="B30" s="36"/>
      <x:c r="C30" s="34"/>
      <x:c r="D30" s="34"/>
      <x:c r="E30" s="34"/>
      <x:c r="F30" s="34"/>
      <x:c r="G30" s="36"/>
      <x:c r="H30" s="34"/>
    </x:row>
    <x:row r="31">
      <x:c r="A31" s="34"/>
      <x:c r="B31" s="36"/>
      <x:c r="C31" s="34"/>
      <x:c r="D31" s="34"/>
      <x:c r="E31" s="34"/>
      <x:c r="F31" s="34"/>
      <x:c r="G31" s="36"/>
      <x:c r="H31" s="34"/>
    </x:row>
    <x:row r="32">
      <x:c r="A32" s="34"/>
      <x:c r="B32" s="36"/>
      <x:c r="C32" s="34"/>
      <x:c r="D32" s="34"/>
      <x:c r="E32" s="34"/>
      <x:c r="F32" s="34"/>
      <x:c r="G32" s="36"/>
      <x:c r="H32" s="34"/>
    </x:row>
    <x:row r="33">
      <x:c r="A33" s="34"/>
      <x:c r="B33" s="36"/>
      <x:c r="C33" s="34"/>
      <x:c r="D33" s="34"/>
      <x:c r="E33" s="34"/>
      <x:c r="F33" s="34"/>
      <x:c r="G33" s="36"/>
      <x:c r="H33" s="34"/>
    </x:row>
    <x:row r="34">
      <x:c r="A34" s="34"/>
      <x:c r="B34" s="36"/>
      <x:c r="C34" s="34"/>
      <x:c r="D34" s="34"/>
      <x:c r="E34" s="34"/>
      <x:c r="F34" s="34"/>
      <x:c r="G34" s="36"/>
      <x:c r="H34" s="34"/>
    </x:row>
    <x:row r="35">
      <x:c r="A35" s="34"/>
      <x:c r="B35" s="36"/>
      <x:c r="C35" s="34"/>
      <x:c r="D35" s="34"/>
      <x:c r="E35" s="34"/>
      <x:c r="F35" s="34"/>
      <x:c r="G35" s="36"/>
      <x:c r="H35" s="34"/>
    </x:row>
    <x:row r="36">
      <x:c r="A36" s="34"/>
      <x:c r="B36" s="36"/>
      <x:c r="C36" s="34"/>
      <x:c r="D36" s="34"/>
      <x:c r="E36" s="34"/>
      <x:c r="F36" s="34"/>
      <x:c r="G36" s="36"/>
      <x:c r="H36" s="34"/>
    </x:row>
    <x:row r="37">
      <x:c r="A37" s="34"/>
      <x:c r="B37" s="36"/>
      <x:c r="C37" s="34"/>
      <x:c r="D37" s="34"/>
      <x:c r="E37" s="34"/>
      <x:c r="F37" s="34"/>
      <x:c r="G37" s="36"/>
      <x:c r="H37" s="34"/>
    </x:row>
    <x:row r="38">
      <x:c r="A38" s="34"/>
      <x:c r="B38" s="36"/>
      <x:c r="C38" s="34"/>
      <x:c r="D38" s="34"/>
      <x:c r="E38" s="34"/>
      <x:c r="F38" s="34"/>
      <x:c r="G38" s="36"/>
      <x:c r="H38" s="34"/>
    </x:row>
    <x:row r="39">
      <x:c r="A39" s="34"/>
      <x:c r="B39" s="36"/>
      <x:c r="C39" s="34"/>
      <x:c r="D39" s="34"/>
      <x:c r="E39" s="34"/>
      <x:c r="F39" s="34"/>
      <x:c r="G39" s="36"/>
      <x:c r="H39" s="34"/>
    </x:row>
    <x:row r="40">
      <x:c r="A40" s="34"/>
      <x:c r="B40" s="36"/>
      <x:c r="C40" s="34"/>
      <x:c r="D40" s="34"/>
      <x:c r="E40" s="34"/>
      <x:c r="F40" s="34"/>
      <x:c r="G40" s="36"/>
      <x:c r="H40" s="34"/>
    </x:row>
    <x:row r="41">
      <x:c r="A41" s="34"/>
      <x:c r="B41" s="36"/>
      <x:c r="C41" s="34"/>
      <x:c r="D41" s="34"/>
      <x:c r="E41" s="34"/>
      <x:c r="F41" s="34"/>
      <x:c r="G41" s="36"/>
      <x:c r="H41" s="34"/>
    </x:row>
    <x:row r="42">
      <x:c r="A42" s="34"/>
      <x:c r="B42" s="36"/>
      <x:c r="C42" s="34"/>
      <x:c r="D42" s="34"/>
      <x:c r="E42" s="34"/>
      <x:c r="F42" s="34"/>
      <x:c r="G42" s="36"/>
      <x:c r="H42" s="34"/>
    </x:row>
    <x:row r="43">
      <x:c r="A43" s="34"/>
      <x:c r="B43" s="36"/>
      <x:c r="C43" s="34"/>
      <x:c r="D43" s="34"/>
      <x:c r="E43" s="34"/>
      <x:c r="F43" s="34"/>
      <x:c r="G43" s="36"/>
      <x:c r="H43" s="34"/>
    </x:row>
    <x:row r="44">
      <x:c r="A44" s="34"/>
      <x:c r="B44" s="36"/>
      <x:c r="C44" s="34"/>
      <x:c r="D44" s="34"/>
      <x:c r="E44" s="34"/>
      <x:c r="F44" s="34"/>
      <x:c r="G44" s="36"/>
      <x:c r="H44" s="34"/>
    </x:row>
    <x:row r="45">
      <x:c r="A45" s="34"/>
      <x:c r="B45" s="36"/>
      <x:c r="C45" s="34"/>
      <x:c r="D45" s="34"/>
      <x:c r="E45" s="34"/>
      <x:c r="F45" s="34"/>
      <x:c r="G45" s="36"/>
      <x:c r="H45" s="34"/>
    </x:row>
    <x:row r="46">
      <x:c r="A46" s="34"/>
      <x:c r="B46" s="36"/>
      <x:c r="C46" s="34"/>
      <x:c r="D46" s="34"/>
      <x:c r="E46" s="34"/>
      <x:c r="F46" s="34"/>
      <x:c r="G46" s="36"/>
      <x:c r="H46" s="34"/>
    </x:row>
    <x:row r="47">
      <x:c r="A47" s="34"/>
      <x:c r="B47" s="36"/>
      <x:c r="C47" s="34"/>
      <x:c r="D47" s="34"/>
      <x:c r="E47" s="34"/>
      <x:c r="F47" s="34"/>
      <x:c r="G47" s="36"/>
      <x:c r="H47" s="34"/>
    </x:row>
    <x:row r="48">
      <x:c r="A48" s="34"/>
      <x:c r="B48" s="36"/>
      <x:c r="C48" s="34"/>
      <x:c r="D48" s="34"/>
      <x:c r="E48" s="34"/>
      <x:c r="F48" s="34"/>
      <x:c r="G48" s="36"/>
      <x:c r="H48" s="34"/>
    </x:row>
    <x:row r="49">
      <x:c r="A49" s="34"/>
      <x:c r="B49" s="36"/>
      <x:c r="C49" s="34"/>
      <x:c r="D49" s="34"/>
      <x:c r="E49" s="34"/>
      <x:c r="F49" s="34"/>
      <x:c r="G49" s="36"/>
      <x:c r="H49" s="34"/>
    </x:row>
    <x:row r="50">
      <x:c r="A50" s="34"/>
      <x:c r="B50" s="36"/>
      <x:c r="C50" s="34"/>
      <x:c r="D50" s="34"/>
      <x:c r="E50" s="34"/>
      <x:c r="F50" s="34"/>
      <x:c r="G50" s="36"/>
      <x:c r="H50" s="34"/>
    </x:row>
    <x:row r="51">
      <x:c r="A51" s="34"/>
      <x:c r="B51" s="36"/>
      <x:c r="C51" s="34"/>
      <x:c r="D51" s="34"/>
      <x:c r="E51" s="34"/>
      <x:c r="F51" s="34"/>
      <x:c r="G51" s="36"/>
      <x:c r="H51" s="34"/>
    </x:row>
    <x:row r="52">
      <x:c r="A52" s="34"/>
      <x:c r="B52" s="36"/>
      <x:c r="C52" s="34"/>
      <x:c r="D52" s="34"/>
      <x:c r="E52" s="34"/>
      <x:c r="F52" s="34"/>
      <x:c r="G52" s="36"/>
      <x:c r="H52" s="34"/>
    </x:row>
    <x:row r="53">
      <x:c r="A53" s="34"/>
      <x:c r="B53" s="36"/>
      <x:c r="C53" s="34"/>
      <x:c r="D53" s="34"/>
      <x:c r="E53" s="34"/>
      <x:c r="F53" s="34"/>
      <x:c r="G53" s="36"/>
      <x:c r="H53" s="34"/>
    </x:row>
    <x:row r="54">
      <x:c r="A54" s="34"/>
      <x:c r="B54" s="36"/>
      <x:c r="C54" s="34"/>
      <x:c r="D54" s="34"/>
      <x:c r="E54" s="34"/>
      <x:c r="F54" s="34"/>
      <x:c r="G54" s="36"/>
      <x:c r="H54" s="34"/>
    </x:row>
    <x:row r="55">
      <x:c r="A55" s="34"/>
      <x:c r="B55" s="36"/>
      <x:c r="C55" s="34"/>
      <x:c r="D55" s="34"/>
      <x:c r="E55" s="34"/>
      <x:c r="F55" s="34"/>
      <x:c r="G55" s="36"/>
      <x:c r="H55" s="34"/>
    </x:row>
    <x:row r="56">
      <x:c r="A56" s="34"/>
      <x:c r="B56" s="36"/>
      <x:c r="C56" s="34"/>
      <x:c r="D56" s="34"/>
      <x:c r="E56" s="34"/>
      <x:c r="F56" s="34"/>
      <x:c r="G56" s="36"/>
      <x:c r="H56" s="34"/>
    </x:row>
    <x:row r="57">
      <x:c r="A57" s="34"/>
      <x:c r="B57" s="36"/>
      <x:c r="C57" s="34"/>
      <x:c r="D57" s="34"/>
      <x:c r="E57" s="34"/>
      <x:c r="F57" s="34"/>
      <x:c r="G57" s="36"/>
      <x:c r="H57" s="34"/>
    </x:row>
    <x:row r="58">
      <x:c r="A58" s="34"/>
      <x:c r="B58" s="36"/>
      <x:c r="C58" s="34"/>
      <x:c r="D58" s="34"/>
      <x:c r="E58" s="34"/>
      <x:c r="F58" s="34"/>
      <x:c r="G58" s="36"/>
      <x:c r="H58" s="34"/>
    </x:row>
    <x:row r="59">
      <x:c r="A59" s="34"/>
      <x:c r="B59" s="36"/>
      <x:c r="C59" s="34"/>
      <x:c r="D59" s="34"/>
      <x:c r="E59" s="34"/>
      <x:c r="F59" s="34"/>
      <x:c r="G59" s="36"/>
      <x:c r="H59" s="34"/>
    </x:row>
    <x:row r="60">
      <x:c r="A60" s="34"/>
      <x:c r="B60" s="36"/>
      <x:c r="C60" s="34"/>
      <x:c r="D60" s="34"/>
      <x:c r="E60" s="34"/>
      <x:c r="F60" s="34"/>
      <x:c r="G60" s="36"/>
      <x:c r="H60" s="34"/>
    </x:row>
    <x:row r="61">
      <x:c r="A61" s="34"/>
      <x:c r="B61" s="36"/>
      <x:c r="C61" s="34"/>
      <x:c r="D61" s="34"/>
      <x:c r="E61" s="34"/>
      <x:c r="F61" s="34"/>
      <x:c r="G61" s="36"/>
      <x:c r="H61" s="34"/>
    </x:row>
    <x:row r="62">
      <x:c r="A62" s="34"/>
      <x:c r="B62" s="36"/>
      <x:c r="C62" s="34"/>
      <x:c r="D62" s="34"/>
      <x:c r="E62" s="34"/>
      <x:c r="F62" s="34"/>
      <x:c r="G62" s="36"/>
      <x:c r="H62" s="34"/>
    </x:row>
    <x:row r="63">
      <x:c r="A63" s="34"/>
      <x:c r="B63" s="36"/>
      <x:c r="C63" s="34"/>
      <x:c r="D63" s="34"/>
      <x:c r="E63" s="34"/>
      <x:c r="F63" s="34"/>
      <x:c r="G63" s="36"/>
      <x:c r="H63" s="34"/>
    </x:row>
    <x:row r="64">
      <x:c r="A64" s="34"/>
      <x:c r="B64" s="36"/>
      <x:c r="C64" s="34"/>
      <x:c r="D64" s="34"/>
      <x:c r="E64" s="34"/>
      <x:c r="F64" s="34"/>
      <x:c r="G64" s="36"/>
      <x:c r="H64" s="34"/>
    </x:row>
    <x:row r="65">
      <x:c r="A65" s="34"/>
      <x:c r="B65" s="36"/>
      <x:c r="C65" s="34"/>
      <x:c r="D65" s="34"/>
      <x:c r="E65" s="34"/>
      <x:c r="F65" s="34"/>
      <x:c r="G65" s="36"/>
      <x:c r="H65" s="34"/>
    </x:row>
    <x:row r="66">
      <x:c r="A66" s="34"/>
      <x:c r="B66" s="36"/>
      <x:c r="C66" s="34"/>
      <x:c r="D66" s="34"/>
      <x:c r="E66" s="34"/>
      <x:c r="F66" s="34"/>
      <x:c r="G66" s="36"/>
      <x:c r="H66" s="34"/>
    </x:row>
    <x:row r="67">
      <x:c r="A67" s="34"/>
      <x:c r="B67" s="36"/>
      <x:c r="C67" s="34"/>
      <x:c r="D67" s="34"/>
      <x:c r="E67" s="34"/>
      <x:c r="F67" s="34"/>
      <x:c r="G67" s="36"/>
      <x:c r="H67" s="34"/>
    </x:row>
    <x:row r="68">
      <x:c r="A68" s="34"/>
      <x:c r="B68" s="36"/>
      <x:c r="C68" s="34"/>
      <x:c r="D68" s="34"/>
      <x:c r="E68" s="34"/>
      <x:c r="F68" s="34"/>
      <x:c r="G68" s="36"/>
      <x:c r="H68" s="34"/>
    </x:row>
    <x:row r="69">
      <x:c r="A69" s="34"/>
      <x:c r="B69" s="36"/>
      <x:c r="C69" s="34"/>
      <x:c r="D69" s="34"/>
      <x:c r="E69" s="34"/>
      <x:c r="F69" s="34"/>
      <x:c r="G69" s="36"/>
      <x:c r="H69" s="34"/>
    </x:row>
    <x:row r="70">
      <x:c r="A70" s="34"/>
      <x:c r="B70" s="36"/>
      <x:c r="C70" s="34"/>
      <x:c r="D70" s="34"/>
      <x:c r="E70" s="34"/>
      <x:c r="F70" s="34"/>
      <x:c r="G70" s="36"/>
      <x:c r="H70" s="34"/>
    </x:row>
    <x:row r="71">
      <x:c r="A71" s="34"/>
      <x:c r="B71" s="36"/>
      <x:c r="C71" s="34"/>
      <x:c r="D71" s="34"/>
      <x:c r="E71" s="34"/>
      <x:c r="F71" s="34"/>
      <x:c r="G71" s="36"/>
      <x:c r="H71" s="34"/>
    </x:row>
    <x:row r="72">
      <x:c r="A72" s="34"/>
      <x:c r="B72" s="36"/>
      <x:c r="C72" s="34"/>
      <x:c r="D72" s="34"/>
      <x:c r="E72" s="34"/>
      <x:c r="F72" s="34"/>
      <x:c r="G72" s="36"/>
      <x:c r="H72" s="34"/>
    </x:row>
    <x:row r="73">
      <x:c r="A73" s="34"/>
      <x:c r="B73" s="36"/>
      <x:c r="C73" s="34"/>
      <x:c r="D73" s="34"/>
      <x:c r="E73" s="34"/>
      <x:c r="F73" s="34"/>
      <x:c r="G73" s="36"/>
      <x:c r="H73" s="34"/>
    </x:row>
    <x:row r="74">
      <x:c r="A74" s="34"/>
      <x:c r="B74" s="36"/>
      <x:c r="C74" s="34"/>
      <x:c r="D74" s="34"/>
      <x:c r="E74" s="34"/>
      <x:c r="F74" s="34"/>
      <x:c r="G74" s="36"/>
      <x:c r="H74" s="34"/>
    </x:row>
    <x:row r="75">
      <x:c r="A75" s="34"/>
      <x:c r="B75" s="36"/>
      <x:c r="C75" s="34"/>
      <x:c r="D75" s="34"/>
      <x:c r="E75" s="34"/>
      <x:c r="F75" s="34"/>
      <x:c r="G75" s="36"/>
      <x:c r="H75" s="34"/>
    </x:row>
    <x:row r="76">
      <x:c r="A76" s="34"/>
      <x:c r="B76" s="36"/>
      <x:c r="C76" s="34"/>
      <x:c r="D76" s="34"/>
      <x:c r="E76" s="34"/>
      <x:c r="F76" s="34"/>
      <x:c r="G76" s="36"/>
      <x:c r="H76" s="34"/>
    </x:row>
    <x:row r="77">
      <x:c r="A77" s="34"/>
      <x:c r="B77" s="36"/>
      <x:c r="C77" s="34"/>
      <x:c r="D77" s="34"/>
      <x:c r="E77" s="34"/>
      <x:c r="F77" s="34"/>
      <x:c r="G77" s="36"/>
      <x:c r="H77" s="34"/>
    </x:row>
    <x:row r="78">
      <x:c r="A78" s="34"/>
      <x:c r="B78" s="36"/>
      <x:c r="C78" s="34"/>
      <x:c r="D78" s="34"/>
      <x:c r="E78" s="34"/>
      <x:c r="F78" s="34"/>
      <x:c r="G78" s="36"/>
      <x:c r="H78" s="34"/>
    </x:row>
    <x:row r="79">
      <x:c r="A79" s="34"/>
      <x:c r="B79" s="36"/>
      <x:c r="C79" s="34"/>
      <x:c r="D79" s="34"/>
      <x:c r="E79" s="34"/>
      <x:c r="F79" s="34"/>
      <x:c r="G79" s="36"/>
      <x:c r="H79" s="34"/>
    </x:row>
    <x:row r="80">
      <x:c r="A80" s="34"/>
      <x:c r="B80" s="36"/>
      <x:c r="C80" s="34"/>
      <x:c r="D80" s="34"/>
      <x:c r="E80" s="34"/>
      <x:c r="F80" s="34"/>
      <x:c r="G80" s="36"/>
      <x:c r="H80" s="34"/>
    </x:row>
    <x:row r="81">
      <x:c r="A81" s="34"/>
      <x:c r="B81" s="36"/>
      <x:c r="C81" s="34"/>
      <x:c r="D81" s="34"/>
      <x:c r="E81" s="34"/>
      <x:c r="F81" s="34"/>
      <x:c r="G81" s="36"/>
      <x:c r="H81" s="34"/>
    </x:row>
    <x:row r="82">
      <x:c r="A82" s="34"/>
      <x:c r="B82" s="36"/>
      <x:c r="C82" s="34"/>
      <x:c r="D82" s="34"/>
      <x:c r="E82" s="34"/>
      <x:c r="F82" s="34"/>
      <x:c r="G82" s="36"/>
      <x:c r="H82" s="34"/>
    </x:row>
    <x:row r="83">
      <x:c r="A83" s="34"/>
      <x:c r="B83" s="36"/>
      <x:c r="C83" s="34"/>
      <x:c r="D83" s="34"/>
      <x:c r="E83" s="34"/>
      <x:c r="F83" s="34"/>
      <x:c r="G83" s="36"/>
      <x:c r="H83" s="34"/>
    </x:row>
    <x:row r="84">
      <x:c r="A84" s="34"/>
      <x:c r="B84" s="36"/>
      <x:c r="C84" s="34"/>
      <x:c r="D84" s="34"/>
      <x:c r="E84" s="34"/>
      <x:c r="F84" s="34"/>
      <x:c r="G84" s="36"/>
      <x:c r="H84" s="34"/>
    </x:row>
    <x:row r="85">
      <x:c r="A85" s="34"/>
      <x:c r="B85" s="36"/>
      <x:c r="C85" s="34"/>
      <x:c r="D85" s="34"/>
      <x:c r="E85" s="34"/>
      <x:c r="F85" s="34"/>
      <x:c r="G85" s="36"/>
      <x:c r="H85" s="34"/>
    </x:row>
    <x:row r="86">
      <x:c r="A86" s="34"/>
      <x:c r="B86" s="36"/>
      <x:c r="C86" s="34"/>
      <x:c r="D86" s="34"/>
      <x:c r="E86" s="34"/>
      <x:c r="F86" s="34"/>
      <x:c r="G86" s="36"/>
      <x:c r="H86" s="34"/>
    </x:row>
    <x:row r="87">
      <x:c r="A87" s="34"/>
      <x:c r="B87" s="36"/>
      <x:c r="C87" s="34"/>
      <x:c r="D87" s="34"/>
      <x:c r="E87" s="34"/>
      <x:c r="F87" s="34"/>
      <x:c r="G87" s="36"/>
      <x:c r="H87" s="34"/>
    </x:row>
    <x:row r="88">
      <x:c r="A88" s="34"/>
      <x:c r="B88" s="36"/>
      <x:c r="C88" s="34"/>
      <x:c r="D88" s="34"/>
      <x:c r="E88" s="34"/>
      <x:c r="F88" s="34"/>
      <x:c r="G88" s="36"/>
      <x:c r="H88" s="34"/>
    </x:row>
    <x:row r="89">
      <x:c r="A89" s="34"/>
      <x:c r="B89" s="36"/>
      <x:c r="C89" s="34"/>
      <x:c r="D89" s="34"/>
      <x:c r="E89" s="34"/>
      <x:c r="F89" s="34"/>
      <x:c r="G89" s="36"/>
      <x:c r="H89" s="34"/>
    </x:row>
    <x:row r="90">
      <x:c r="A90" s="34"/>
      <x:c r="B90" s="36"/>
      <x:c r="C90" s="34"/>
      <x:c r="D90" s="34"/>
      <x:c r="E90" s="34"/>
      <x:c r="F90" s="34"/>
      <x:c r="G90" s="36"/>
      <x:c r="H90" s="34"/>
    </x:row>
    <x:row r="91">
      <x:c r="A91" s="34"/>
      <x:c r="B91" s="36"/>
      <x:c r="C91" s="34"/>
      <x:c r="D91" s="34"/>
      <x:c r="E91" s="34"/>
      <x:c r="F91" s="34"/>
      <x:c r="G91" s="36"/>
      <x:c r="H91" s="34"/>
    </x:row>
    <x:row r="92">
      <x:c r="A92" s="34"/>
      <x:c r="B92" s="36"/>
      <x:c r="C92" s="34"/>
      <x:c r="D92" s="34"/>
      <x:c r="E92" s="34"/>
      <x:c r="F92" s="34"/>
      <x:c r="G92" s="36"/>
      <x:c r="H92" s="34"/>
    </x:row>
    <x:row r="93">
      <x:c r="A93" s="34"/>
      <x:c r="B93" s="36"/>
      <x:c r="C93" s="34"/>
      <x:c r="D93" s="34"/>
      <x:c r="E93" s="34"/>
      <x:c r="F93" s="34"/>
      <x:c r="G93" s="36"/>
      <x:c r="H93" s="34"/>
    </x:row>
    <x:row r="94">
      <x:c r="A94" s="34"/>
      <x:c r="B94" s="36"/>
      <x:c r="C94" s="34"/>
      <x:c r="D94" s="34"/>
      <x:c r="E94" s="34"/>
      <x:c r="F94" s="34"/>
      <x:c r="G94" s="36"/>
      <x:c r="H94" s="34"/>
    </x:row>
    <x:row r="95">
      <x:c r="A95" s="34"/>
      <x:c r="B95" s="36"/>
      <x:c r="C95" s="34"/>
      <x:c r="D95" s="34"/>
      <x:c r="E95" s="34"/>
      <x:c r="F95" s="34"/>
      <x:c r="G95" s="36"/>
      <x:c r="H95" s="34"/>
    </x:row>
    <x:row r="96">
      <x:c r="A96" s="34"/>
      <x:c r="B96" s="36"/>
      <x:c r="C96" s="34"/>
      <x:c r="D96" s="34"/>
      <x:c r="E96" s="34"/>
      <x:c r="F96" s="34"/>
      <x:c r="G96" s="36"/>
      <x:c r="H96" s="34"/>
    </x:row>
    <x:row r="97">
      <x:c r="A97" s="34"/>
      <x:c r="B97" s="36"/>
      <x:c r="C97" s="34"/>
      <x:c r="D97" s="34"/>
      <x:c r="E97" s="34"/>
      <x:c r="F97" s="34"/>
      <x:c r="G97" s="36"/>
      <x:c r="H97" s="34"/>
    </x:row>
    <x:row r="98">
      <x:c r="A98" s="34"/>
      <x:c r="B98" s="36"/>
      <x:c r="C98" s="34"/>
      <x:c r="D98" s="34"/>
      <x:c r="E98" s="34"/>
      <x:c r="F98" s="34"/>
      <x:c r="G98" s="36"/>
      <x:c r="H98" s="34"/>
    </x:row>
    <x:row r="99">
      <x:c r="A99" s="34"/>
      <x:c r="B99" s="36"/>
      <x:c r="C99" s="34"/>
      <x:c r="D99" s="34"/>
      <x:c r="E99" s="34"/>
      <x:c r="F99" s="34"/>
      <x:c r="G99" s="36"/>
      <x:c r="H99" s="34"/>
    </x:row>
    <x:row r="100">
      <x:c r="A100" s="34"/>
      <x:c r="B100" s="36"/>
      <x:c r="C100" s="34"/>
      <x:c r="D100" s="34"/>
      <x:c r="E100" s="34"/>
      <x:c r="F100" s="34"/>
      <x:c r="G100" s="36"/>
      <x:c r="H100" s="34"/>
    </x:row>
  </x:sheetData>
  <x:mergeCells>
    <x:mergeCell ref="A1:H1"/>
  </x:mergeCells>
  <x:dataValidations count="2">
    <x:dataValidation type="list" sqref="D4:D100">
      <x:formula1>"Low,Medium,High,Critical"</x:formula1>
    </x:dataValidation>
    <x:dataValidation type="list" sqref="H4:H100">
      <x:formula1>"Open,Monitoring,Escalated,Resolved"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0d034fdaba48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38" hidden="0" customWidth="1"/>
    <x:col min="4" max="4" width="38" hidden="0" customWidth="1"/>
    <x:col min="5" max="5" width="38" hidden="0" customWidth="1"/>
  </x:cols>
  <x:sheetData>
    <x:row r="1">
      <x:c r="A1" s="4" t="str">
        <x:v>Customer Health Scoring Guide</x:v>
      </x:c>
    </x:row>
    <x:row r="3">
      <x:c r="A3" s="19" t="str">
        <x:v>Health Signal</x:v>
      </x:c>
      <x:c r="B3" s="19" t="str">
        <x:v>Weight</x:v>
      </x:c>
      <x:c r="C3" s="19" t="str">
        <x:v>80-100</x:v>
      </x:c>
      <x:c r="D3" s="19" t="str">
        <x:v>60-79</x:v>
      </x:c>
      <x:c r="E3" s="19" t="str">
        <x:v>0-59</x:v>
      </x:c>
    </x:row>
    <x:row r="4">
      <x:c r="A4" s="34" t="str">
        <x:v>Product Adoption</x:v>
      </x:c>
      <x:c r="B4" s="34" t="str">
        <x:v>30%</x:v>
      </x:c>
      <x:c r="C4" s="34" t="str">
        <x:v>Consistent usage and core feature adoption</x:v>
      </x:c>
      <x:c r="D4" s="34" t="str">
        <x:v>Some decline or incomplete adoption</x:v>
      </x:c>
      <x:c r="E4" s="34" t="str">
        <x:v>Low usage, significant decline, or limited value realization</x:v>
      </x:c>
    </x:row>
    <x:row r="5">
      <x:c r="A5" s="34" t="str">
        <x:v>Onboarding Progress</x:v>
      </x:c>
      <x:c r="B5" s="34" t="str">
        <x:v>20%</x:v>
      </x:c>
      <x:c r="C5" s="34" t="str">
        <x:v>Milestones on time; value achieved</x:v>
      </x:c>
      <x:c r="D5" s="34" t="str">
        <x:v>Minor delays or partial milestone completion</x:v>
      </x:c>
      <x:c r="E5" s="34" t="str">
        <x:v>Stalled implementation or time-to-value significantly delayed</x:v>
      </x:c>
    </x:row>
    <x:row r="6">
      <x:c r="A6" s="34" t="str">
        <x:v>Customer Engagement</x:v>
      </x:c>
      <x:c r="B6" s="34" t="str">
        <x:v>20%</x:v>
      </x:c>
      <x:c r="C6" s="34" t="str">
        <x:v>Responsive stakeholders and consistent meeting participation</x:v>
      </x:c>
      <x:c r="D6" s="34" t="str">
        <x:v>Inconsistent responses or missed meetings</x:v>
      </x:c>
      <x:c r="E6" s="34" t="str">
        <x:v>Stakeholders disengaged or repeatedly unresponsive</x:v>
      </x:c>
    </x:row>
    <x:row r="7">
      <x:c r="A7" s="34" t="str">
        <x:v>Support Experience</x:v>
      </x:c>
      <x:c r="B7" s="34" t="str">
        <x:v>15%</x:v>
      </x:c>
      <x:c r="C7" s="34" t="str">
        <x:v>Low friction and issues resolved promptly</x:v>
      </x:c>
      <x:c r="D7" s="34" t="str">
        <x:v>Recurring tickets or moderate friction</x:v>
      </x:c>
      <x:c r="E7" s="34" t="str">
        <x:v>Escalations, unresolved blockers, or repeated critical issues</x:v>
      </x:c>
    </x:row>
    <x:row r="8">
      <x:c r="A8" s="34" t="str">
        <x:v>Customer Sentiment</x:v>
      </x:c>
      <x:c r="B8" s="34" t="str">
        <x:v>15%</x:v>
      </x:c>
      <x:c r="C8" s="34" t="str">
        <x:v>Positive feedback and strong relationship</x:v>
      </x:c>
      <x:c r="D8" s="34" t="str">
        <x:v>Mixed sentiment or unresolved concerns</x:v>
      </x:c>
      <x:c r="E8" s="34" t="str">
        <x:v>Negative sentiment, objections, or confidence loss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4" max="4" width="22" hidden="0" customWidth="1"/>
    <x:col min="5" max="5" width="14" hidden="0" customWidth="1"/>
  </x:cols>
  <x:sheetData>
    <x:row r="1">
      <x:c r="A1" s="4" t="str">
        <x:v>Customer Health Dashboard</x:v>
      </x:c>
    </x:row>
    <x:row r="3">
      <x:c r="A3" s="44" t="str">
        <x:v>Metric</x:v>
      </x:c>
      <x:c r="B3" s="44" t="str">
        <x:v>Value</x:v>
      </x:c>
      <x:c r="D3" s="44" t="str">
        <x:v>Metric</x:v>
      </x:c>
      <x:c r="E3" s="44" t="str">
        <x:v>Value</x:v>
      </x:c>
    </x:row>
    <x:row r="4">
      <x:c r="A4" t="str">
        <x:v>Total Accounts</x:v>
      </x:c>
      <x:c r="B4" t="n">
        <x:f>COUNTA('Health Score Tracker'!A5:A100)</x:f>
        <x:v>5</x:v>
      </x:c>
      <x:c r="D4" t="str">
        <x:v>Critical</x:v>
      </x:c>
      <x:c r="E4" t="n">
        <x:f>COUNTIF('Health Score Tracker'!L5:L100,"Critical")</x:f>
        <x:v>92</x:v>
      </x:c>
    </x:row>
    <x:row r="5">
      <x:c r="A5" t="str">
        <x:v>Healthy</x:v>
      </x:c>
      <x:c r="B5" t="n">
        <x:f>COUNTIF('Health Score Tracker'!L5:L100,"Healthy")</x:f>
        <x:v>1</x:v>
      </x:c>
      <x:c r="D5" t="str">
        <x:v>Average Health Score</x:v>
      </x:c>
      <x:c r="E5" s="46" t="n">
        <x:f>AVERAGE('Health Score Tracker'!I5:I9)</x:f>
        <x:v>61.42999999999999</x:v>
      </x:c>
    </x:row>
    <x:row r="6">
      <x:c r="A6" t="str">
        <x:v>Watch</x:v>
      </x:c>
      <x:c r="B6" t="n">
        <x:f>COUNTIF('Health Score Tracker'!L5:L100,"Watch")</x:f>
        <x:v>2</x:v>
      </x:c>
    </x:row>
    <x:row r="7">
      <x:c r="A7" t="str">
        <x:v>At Risk</x:v>
      </x:c>
      <x:c r="B7" t="n">
        <x:f>COUNTIF('Health Score Tracker'!L5:L100,"At Risk")</x:f>
        <x:v>1</x:v>
      </x:c>
    </x:row>
    <x:row r="10">
      <x:c r="A10" t="str">
        <x:v>Status</x:v>
      </x:c>
      <x:c r="B10" t="str">
        <x:v>Count</x:v>
      </x:c>
    </x:row>
    <x:row r="11">
      <x:c r="A11" t="str">
        <x:v>Healthy</x:v>
      </x:c>
      <x:c r="B11" t="n">
        <x:f>B5</x:f>
        <x:v>1</x:v>
      </x:c>
    </x:row>
    <x:row r="12">
      <x:c r="A12" t="str">
        <x:v>Watch</x:v>
      </x:c>
      <x:c r="B12" t="n">
        <x:f>B6</x:f>
        <x:v>2</x:v>
      </x:c>
    </x:row>
    <x:row r="13">
      <x:c r="A13" t="str">
        <x:v>At Risk</x:v>
      </x:c>
      <x:c r="B13" t="n">
        <x:f>B7</x:f>
        <x:v>1</x:v>
      </x:c>
    </x:row>
    <x:row r="14">
      <x:c r="A14" t="str">
        <x:v>Critical</x:v>
      </x:c>
      <x:c r="B14" t="n">
        <x:f>E4</x:f>
        <x:v>92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a3c51fea947e43b0"/>
</x:worksheet>
</file>